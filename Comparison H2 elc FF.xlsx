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operazione\03917_UC_H2READY\_FILE DI LAVORO\MDP\"/>
    </mc:Choice>
  </mc:AlternateContent>
  <xr:revisionPtr revIDLastSave="0" documentId="13_ncr:1_{4B1D93DC-F7E4-4354-B87D-61312F4D5A74}" xr6:coauthVersionLast="47" xr6:coauthVersionMax="47" xr10:uidLastSave="{00000000-0000-0000-0000-000000000000}"/>
  <bookViews>
    <workbookView xWindow="-120" yWindow="-120" windowWidth="29040" windowHeight="15720" activeTab="5" xr2:uid="{8A0445AD-1B7B-42E6-8CD2-5E210ED6C92C}"/>
  </bookViews>
  <sheets>
    <sheet name="Grafici" sheetId="7" r:id="rId1"/>
    <sheet name="AUTO" sheetId="1" r:id="rId2"/>
    <sheet name="CAMION" sheetId="2" r:id="rId3"/>
    <sheet name="AUTOBUS Urbano" sheetId="3" r:id="rId4"/>
    <sheet name="AUTOBUS ExtraUrbano" sheetId="8" r:id="rId5"/>
    <sheet name="CALORE" sheetId="4" r:id="rId6"/>
    <sheet name="Produzione H2" sheetId="10" r:id="rId7"/>
    <sheet name="Dati" sheetId="5" r:id="rId8"/>
    <sheet name="Dati Targa Modelli" sheetId="6" r:id="rId9"/>
    <sheet name="LEGENDA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" i="1" l="1"/>
  <c r="U39" i="1" s="1"/>
  <c r="T39" i="1"/>
  <c r="V39" i="1"/>
  <c r="W39" i="1"/>
  <c r="D7" i="10"/>
  <c r="D8" i="10" s="1"/>
  <c r="C5" i="10"/>
  <c r="F43" i="10"/>
  <c r="D43" i="10" s="1"/>
  <c r="E43" i="10"/>
  <c r="E42" i="10"/>
  <c r="F42" i="10"/>
  <c r="D42" i="10" s="1"/>
  <c r="Y37" i="10"/>
  <c r="F35" i="10"/>
  <c r="F34" i="10"/>
  <c r="E35" i="10"/>
  <c r="E34" i="10"/>
  <c r="D35" i="10"/>
  <c r="D34" i="10"/>
  <c r="F16" i="10"/>
  <c r="F15" i="10"/>
  <c r="H15" i="10" s="1"/>
  <c r="V39" i="10" s="1"/>
  <c r="G16" i="10"/>
  <c r="D17" i="10"/>
  <c r="F17" i="10" s="1"/>
  <c r="H16" i="10" l="1"/>
  <c r="I34" i="10"/>
  <c r="I35" i="10"/>
  <c r="J34" i="10"/>
  <c r="V40" i="10"/>
  <c r="J42" i="10"/>
  <c r="D18" i="10"/>
  <c r="F18" i="10" s="1"/>
  <c r="R50" i="10" l="1"/>
  <c r="I51" i="10"/>
  <c r="R52" i="10"/>
  <c r="R51" i="10"/>
  <c r="R53" i="10"/>
  <c r="I50" i="10"/>
  <c r="L52" i="10" s="1"/>
  <c r="N33" i="1"/>
  <c r="L51" i="10" l="1"/>
  <c r="L53" i="10"/>
  <c r="L50" i="10"/>
  <c r="N4" i="4"/>
  <c r="O5" i="4"/>
  <c r="O6" i="4"/>
  <c r="O7" i="4"/>
  <c r="O8" i="4"/>
  <c r="O9" i="4"/>
  <c r="O10" i="4"/>
  <c r="O11" i="4"/>
  <c r="O12" i="4"/>
  <c r="O13" i="4"/>
  <c r="O14" i="4"/>
  <c r="O15" i="4"/>
  <c r="O4" i="4"/>
  <c r="N5" i="4"/>
  <c r="N6" i="4"/>
  <c r="N7" i="4"/>
  <c r="N8" i="4"/>
  <c r="N9" i="4"/>
  <c r="N10" i="4"/>
  <c r="N11" i="4"/>
  <c r="N12" i="4"/>
  <c r="N13" i="4"/>
  <c r="N14" i="4"/>
  <c r="N15" i="4"/>
  <c r="S13" i="4"/>
  <c r="T15" i="4"/>
  <c r="S15" i="4" s="1"/>
  <c r="T14" i="4"/>
  <c r="S14" i="4" s="1"/>
  <c r="T13" i="4"/>
  <c r="T12" i="4"/>
  <c r="S12" i="4" s="1"/>
  <c r="T11" i="4"/>
  <c r="S11" i="4" s="1"/>
  <c r="T8" i="4"/>
  <c r="S8" i="4" s="1"/>
  <c r="U8" i="4" s="1"/>
  <c r="V8" i="4" s="1"/>
  <c r="T5" i="4"/>
  <c r="S5" i="4" s="1"/>
  <c r="T6" i="4"/>
  <c r="S6" i="4" s="1"/>
  <c r="T7" i="4"/>
  <c r="S7" i="4" s="1"/>
  <c r="T4" i="4"/>
  <c r="S4" i="4" s="1"/>
  <c r="R15" i="4"/>
  <c r="R12" i="4"/>
  <c r="R11" i="4"/>
  <c r="R10" i="4"/>
  <c r="R9" i="4"/>
  <c r="R8" i="4"/>
  <c r="R5" i="4"/>
  <c r="R6" i="4"/>
  <c r="R7" i="4"/>
  <c r="R4" i="4"/>
  <c r="F25" i="4"/>
  <c r="F24" i="4"/>
  <c r="F23" i="4"/>
  <c r="F22" i="4"/>
  <c r="F21" i="4"/>
  <c r="F20" i="4"/>
  <c r="F19" i="4"/>
  <c r="F18" i="4"/>
  <c r="J18" i="4"/>
  <c r="F8" i="4" s="1"/>
  <c r="Q8" i="4" s="1"/>
  <c r="C15" i="4"/>
  <c r="C14" i="4"/>
  <c r="C13" i="4"/>
  <c r="C12" i="4"/>
  <c r="C11" i="4"/>
  <c r="C10" i="4"/>
  <c r="C9" i="4"/>
  <c r="C4" i="4"/>
  <c r="C19" i="4"/>
  <c r="E51" i="4"/>
  <c r="E50" i="4"/>
  <c r="T10" i="4" s="1"/>
  <c r="S10" i="4" s="1"/>
  <c r="E47" i="4"/>
  <c r="F52" i="4" s="1"/>
  <c r="R14" i="4" s="1"/>
  <c r="D47" i="4"/>
  <c r="C5" i="4" s="1"/>
  <c r="D48" i="4"/>
  <c r="C6" i="4" s="1"/>
  <c r="D49" i="4"/>
  <c r="C8" i="4" s="1"/>
  <c r="D60" i="4"/>
  <c r="C50" i="4" s="1"/>
  <c r="M10" i="4" s="1"/>
  <c r="D59" i="4"/>
  <c r="D58" i="4"/>
  <c r="C47" i="4" s="1"/>
  <c r="M5" i="4" s="1"/>
  <c r="D57" i="4"/>
  <c r="C48" i="4" s="1"/>
  <c r="M6" i="4" s="1"/>
  <c r="D56" i="4"/>
  <c r="C49" i="4" s="1"/>
  <c r="M7" i="4" s="1"/>
  <c r="C46" i="4"/>
  <c r="M4" i="4" s="1"/>
  <c r="C51" i="4"/>
  <c r="M11" i="4" s="1"/>
  <c r="C52" i="4"/>
  <c r="M13" i="4" s="1"/>
  <c r="H36" i="4"/>
  <c r="G37" i="4"/>
  <c r="R35" i="5"/>
  <c r="G36" i="4" s="1"/>
  <c r="D37" i="4"/>
  <c r="D6" i="4" s="1"/>
  <c r="D36" i="4"/>
  <c r="D35" i="4"/>
  <c r="C39" i="4"/>
  <c r="E39" i="4" s="1"/>
  <c r="I8" i="4" s="1"/>
  <c r="C40" i="4"/>
  <c r="E40" i="4" s="1"/>
  <c r="I13" i="4" s="1"/>
  <c r="C41" i="4"/>
  <c r="E41" i="4" s="1"/>
  <c r="I14" i="4" s="1"/>
  <c r="C42" i="4"/>
  <c r="E42" i="4" s="1"/>
  <c r="I15" i="4" s="1"/>
  <c r="C38" i="4"/>
  <c r="E38" i="4" s="1"/>
  <c r="I11" i="4" s="1"/>
  <c r="C37" i="4"/>
  <c r="E37" i="4" s="1"/>
  <c r="I6" i="4" s="1"/>
  <c r="C36" i="4"/>
  <c r="E36" i="4" s="1"/>
  <c r="I5" i="4" s="1"/>
  <c r="C35" i="4"/>
  <c r="Z9" i="8"/>
  <c r="Z10" i="8"/>
  <c r="Z8" i="8"/>
  <c r="Z6" i="8"/>
  <c r="L9" i="8"/>
  <c r="L10" i="8"/>
  <c r="L8" i="8"/>
  <c r="C16" i="8"/>
  <c r="C15" i="8"/>
  <c r="O31" i="8"/>
  <c r="O30" i="8"/>
  <c r="N30" i="8"/>
  <c r="N31" i="8"/>
  <c r="N32" i="8"/>
  <c r="N33" i="8"/>
  <c r="N34" i="8"/>
  <c r="N29" i="8"/>
  <c r="H8" i="8"/>
  <c r="G8" i="8" s="1"/>
  <c r="D9" i="8"/>
  <c r="D10" i="8"/>
  <c r="D8" i="8"/>
  <c r="C9" i="8"/>
  <c r="C10" i="8"/>
  <c r="H10" i="8" s="1"/>
  <c r="C8" i="8"/>
  <c r="F51" i="8"/>
  <c r="F52" i="8"/>
  <c r="F50" i="8"/>
  <c r="D51" i="8"/>
  <c r="D52" i="8"/>
  <c r="D50" i="8"/>
  <c r="D31" i="8"/>
  <c r="E53" i="8"/>
  <c r="G53" i="8"/>
  <c r="G43" i="8"/>
  <c r="C53" i="8"/>
  <c r="E51" i="8"/>
  <c r="E50" i="8"/>
  <c r="E42" i="8"/>
  <c r="F42" i="8" s="1"/>
  <c r="C42" i="8"/>
  <c r="E41" i="8"/>
  <c r="F41" i="8" s="1"/>
  <c r="C41" i="8"/>
  <c r="E40" i="8"/>
  <c r="C33" i="8"/>
  <c r="C34" i="8" s="1"/>
  <c r="C5" i="8" s="1"/>
  <c r="G32" i="8"/>
  <c r="E32" i="8"/>
  <c r="D32" i="8" s="1"/>
  <c r="G31" i="8"/>
  <c r="AA32" i="6"/>
  <c r="AA31" i="6"/>
  <c r="Y38" i="6"/>
  <c r="Y37" i="6"/>
  <c r="Y36" i="6"/>
  <c r="Y35" i="6"/>
  <c r="Y34" i="6"/>
  <c r="Y32" i="6"/>
  <c r="W36" i="6"/>
  <c r="W35" i="6"/>
  <c r="W33" i="6"/>
  <c r="Z9" i="3"/>
  <c r="Z10" i="3"/>
  <c r="Z8" i="3"/>
  <c r="Z7" i="3"/>
  <c r="Z6" i="3"/>
  <c r="Z5" i="3"/>
  <c r="C16" i="3"/>
  <c r="C15" i="3"/>
  <c r="N54" i="8"/>
  <c r="R6" i="8" s="1"/>
  <c r="N55" i="8"/>
  <c r="R9" i="8" s="1"/>
  <c r="N53" i="8"/>
  <c r="R5" i="8" s="1"/>
  <c r="N54" i="3"/>
  <c r="R7" i="3" s="1"/>
  <c r="N55" i="3"/>
  <c r="R8" i="3" s="1"/>
  <c r="N53" i="3"/>
  <c r="R5" i="3" s="1"/>
  <c r="O31" i="3"/>
  <c r="O30" i="3"/>
  <c r="O29" i="3"/>
  <c r="N30" i="3"/>
  <c r="N31" i="3"/>
  <c r="N32" i="3"/>
  <c r="N33" i="3"/>
  <c r="N34" i="3"/>
  <c r="N29" i="3"/>
  <c r="V51" i="3"/>
  <c r="X50" i="8"/>
  <c r="V50" i="8"/>
  <c r="X49" i="8"/>
  <c r="V49" i="8"/>
  <c r="X48" i="8"/>
  <c r="V48" i="8"/>
  <c r="W50" i="3"/>
  <c r="V50" i="3"/>
  <c r="X49" i="3"/>
  <c r="W49" i="3"/>
  <c r="V49" i="3"/>
  <c r="X48" i="3"/>
  <c r="X51" i="3" s="1"/>
  <c r="W48" i="3"/>
  <c r="W51" i="3" s="1"/>
  <c r="V48" i="3"/>
  <c r="H9" i="8"/>
  <c r="Y8" i="8"/>
  <c r="Z7" i="8"/>
  <c r="Y6" i="2"/>
  <c r="Y7" i="2"/>
  <c r="Y8" i="2"/>
  <c r="Y9" i="2"/>
  <c r="Y10" i="2"/>
  <c r="Y5" i="2"/>
  <c r="Z9" i="2"/>
  <c r="Z10" i="2"/>
  <c r="Z8" i="2"/>
  <c r="Z7" i="2"/>
  <c r="Z6" i="2"/>
  <c r="Z5" i="2"/>
  <c r="L9" i="2"/>
  <c r="L10" i="2"/>
  <c r="L8" i="2"/>
  <c r="L5" i="2"/>
  <c r="L7" i="2"/>
  <c r="L6" i="2"/>
  <c r="D81" i="5"/>
  <c r="W9" i="8" s="1"/>
  <c r="D80" i="5"/>
  <c r="W7" i="8" s="1"/>
  <c r="D79" i="5"/>
  <c r="W5" i="8" s="1"/>
  <c r="D78" i="5"/>
  <c r="W9" i="3" s="1"/>
  <c r="D77" i="5"/>
  <c r="W6" i="3" s="1"/>
  <c r="D76" i="5"/>
  <c r="W5" i="3" s="1"/>
  <c r="D75" i="5"/>
  <c r="D74" i="5"/>
  <c r="D72" i="5"/>
  <c r="W10" i="1" s="1"/>
  <c r="D71" i="5"/>
  <c r="W8" i="1" s="1"/>
  <c r="D70" i="5"/>
  <c r="W6" i="1" s="1"/>
  <c r="D69" i="5"/>
  <c r="W5" i="1" s="1"/>
  <c r="D73" i="5"/>
  <c r="N53" i="2"/>
  <c r="R6" i="2" s="1"/>
  <c r="N54" i="2"/>
  <c r="R10" i="2" s="1"/>
  <c r="N52" i="2"/>
  <c r="R5" i="2" s="1"/>
  <c r="N30" i="2"/>
  <c r="N6" i="2" s="1"/>
  <c r="N31" i="2"/>
  <c r="N7" i="2" s="1"/>
  <c r="N32" i="2"/>
  <c r="N33" i="2"/>
  <c r="N34" i="2"/>
  <c r="N29" i="2"/>
  <c r="O31" i="2"/>
  <c r="O30" i="2"/>
  <c r="O29" i="2"/>
  <c r="W51" i="8"/>
  <c r="C16" i="2"/>
  <c r="C14" i="2" s="1"/>
  <c r="X50" i="2"/>
  <c r="W50" i="2"/>
  <c r="V50" i="2"/>
  <c r="X49" i="2"/>
  <c r="W49" i="2"/>
  <c r="V49" i="2"/>
  <c r="W48" i="2"/>
  <c r="V48" i="2"/>
  <c r="W55" i="1"/>
  <c r="V55" i="1"/>
  <c r="U55" i="1"/>
  <c r="W54" i="1"/>
  <c r="V54" i="1"/>
  <c r="V56" i="1" s="1"/>
  <c r="U54" i="1"/>
  <c r="W53" i="1"/>
  <c r="U53" i="1"/>
  <c r="T67" i="5"/>
  <c r="R69" i="5"/>
  <c r="R68" i="5"/>
  <c r="R67" i="5"/>
  <c r="R65" i="5"/>
  <c r="R64" i="5"/>
  <c r="R63" i="5"/>
  <c r="R62" i="5"/>
  <c r="R60" i="5"/>
  <c r="R59" i="5"/>
  <c r="R58" i="5"/>
  <c r="Q66" i="5"/>
  <c r="Q65" i="5"/>
  <c r="Q64" i="5"/>
  <c r="Q63" i="5"/>
  <c r="Q62" i="5"/>
  <c r="Q61" i="5"/>
  <c r="Q60" i="5"/>
  <c r="Q59" i="5"/>
  <c r="P69" i="5"/>
  <c r="P68" i="5"/>
  <c r="P67" i="5"/>
  <c r="P66" i="5"/>
  <c r="P65" i="5"/>
  <c r="P64" i="5"/>
  <c r="P63" i="5"/>
  <c r="P62" i="5"/>
  <c r="P61" i="5"/>
  <c r="P60" i="5"/>
  <c r="P59" i="5"/>
  <c r="P58" i="5"/>
  <c r="D31" i="2"/>
  <c r="M32" i="1"/>
  <c r="N32" i="1"/>
  <c r="R11" i="1"/>
  <c r="R10" i="1"/>
  <c r="R8" i="1"/>
  <c r="R9" i="1"/>
  <c r="R7" i="1"/>
  <c r="R6" i="1"/>
  <c r="R5" i="1"/>
  <c r="N38" i="1"/>
  <c r="N37" i="1"/>
  <c r="N36" i="1"/>
  <c r="N35" i="1"/>
  <c r="N34" i="1"/>
  <c r="M33" i="1"/>
  <c r="M34" i="1"/>
  <c r="M35" i="1"/>
  <c r="M36" i="1"/>
  <c r="M37" i="1"/>
  <c r="M38" i="1"/>
  <c r="X8" i="1" l="1"/>
  <c r="U7" i="4"/>
  <c r="V7" i="4" s="1"/>
  <c r="U11" i="4"/>
  <c r="V11" i="4" s="1"/>
  <c r="R13" i="4"/>
  <c r="T9" i="4"/>
  <c r="S9" i="4" s="1"/>
  <c r="I7" i="4"/>
  <c r="M12" i="4"/>
  <c r="I10" i="4"/>
  <c r="C7" i="4"/>
  <c r="I12" i="4"/>
  <c r="M9" i="4"/>
  <c r="F6" i="4"/>
  <c r="F15" i="4"/>
  <c r="F7" i="4"/>
  <c r="Q7" i="4" s="1"/>
  <c r="F14" i="4"/>
  <c r="F5" i="4"/>
  <c r="F13" i="4"/>
  <c r="F4" i="4"/>
  <c r="H7" i="4"/>
  <c r="M8" i="4"/>
  <c r="M14" i="4"/>
  <c r="I9" i="4"/>
  <c r="M15" i="4"/>
  <c r="H8" i="4"/>
  <c r="E35" i="4"/>
  <c r="I4" i="4" s="1"/>
  <c r="W10" i="3"/>
  <c r="X10" i="3" s="1"/>
  <c r="G34" i="8"/>
  <c r="Z5" i="8" s="1"/>
  <c r="Y5" i="8" s="1"/>
  <c r="E43" i="8"/>
  <c r="G9" i="8"/>
  <c r="E34" i="8"/>
  <c r="L5" i="8" s="1"/>
  <c r="W6" i="8"/>
  <c r="X6" i="8" s="1"/>
  <c r="R10" i="3"/>
  <c r="C43" i="8"/>
  <c r="C6" i="8" s="1"/>
  <c r="H6" i="8" s="1"/>
  <c r="G6" i="8" s="1"/>
  <c r="D33" i="8"/>
  <c r="D34" i="8" s="1"/>
  <c r="D5" i="8" s="1"/>
  <c r="R7" i="8"/>
  <c r="D42" i="8"/>
  <c r="C7" i="8"/>
  <c r="H7" i="8" s="1"/>
  <c r="G7" i="8" s="1"/>
  <c r="D40" i="8"/>
  <c r="W8" i="8"/>
  <c r="X8" i="8" s="1"/>
  <c r="R6" i="3"/>
  <c r="R9" i="3"/>
  <c r="W8" i="3"/>
  <c r="X8" i="3" s="1"/>
  <c r="F40" i="8"/>
  <c r="F43" i="8" s="1"/>
  <c r="R8" i="8"/>
  <c r="W10" i="8"/>
  <c r="X10" i="8" s="1"/>
  <c r="W7" i="3"/>
  <c r="X7" i="3" s="1"/>
  <c r="D41" i="8"/>
  <c r="R10" i="8"/>
  <c r="C14" i="8"/>
  <c r="Y7" i="8"/>
  <c r="Y9" i="8"/>
  <c r="Y6" i="8"/>
  <c r="P30" i="8"/>
  <c r="G10" i="8"/>
  <c r="Y10" i="8"/>
  <c r="F53" i="8"/>
  <c r="D53" i="8"/>
  <c r="Y10" i="3"/>
  <c r="Y5" i="3"/>
  <c r="Y8" i="3"/>
  <c r="C14" i="3"/>
  <c r="Y9" i="3"/>
  <c r="Y6" i="3"/>
  <c r="Y7" i="3"/>
  <c r="L8" i="3"/>
  <c r="L10" i="3"/>
  <c r="L5" i="3"/>
  <c r="L9" i="3"/>
  <c r="L6" i="3"/>
  <c r="X5" i="3"/>
  <c r="X51" i="8"/>
  <c r="V51" i="8"/>
  <c r="R7" i="2"/>
  <c r="P31" i="3"/>
  <c r="W6" i="2"/>
  <c r="X6" i="2" s="1"/>
  <c r="W7" i="1"/>
  <c r="X7" i="1" s="1"/>
  <c r="W9" i="1"/>
  <c r="X9" i="1" s="1"/>
  <c r="X6" i="3"/>
  <c r="W9" i="2"/>
  <c r="X9" i="2" s="1"/>
  <c r="R8" i="2"/>
  <c r="W11" i="1"/>
  <c r="X11" i="1" s="1"/>
  <c r="W7" i="2"/>
  <c r="X7" i="2" s="1"/>
  <c r="X5" i="8"/>
  <c r="X7" i="8"/>
  <c r="X9" i="8"/>
  <c r="R9" i="2"/>
  <c r="W8" i="2"/>
  <c r="X8" i="2" s="1"/>
  <c r="W5" i="2"/>
  <c r="X5" i="2" s="1"/>
  <c r="W10" i="2"/>
  <c r="X10" i="2" s="1"/>
  <c r="X9" i="3"/>
  <c r="W56" i="1"/>
  <c r="U56" i="1"/>
  <c r="S64" i="5"/>
  <c r="U57" i="5"/>
  <c r="U64" i="5"/>
  <c r="S61" i="5"/>
  <c r="U61" i="5"/>
  <c r="U67" i="5"/>
  <c r="T57" i="5"/>
  <c r="P29" i="2"/>
  <c r="S57" i="5"/>
  <c r="P29" i="3"/>
  <c r="T61" i="5"/>
  <c r="S67" i="5"/>
  <c r="T64" i="5"/>
  <c r="P30" i="3"/>
  <c r="P31" i="2"/>
  <c r="P30" i="2"/>
  <c r="V51" i="2"/>
  <c r="W51" i="2"/>
  <c r="X51" i="2"/>
  <c r="O32" i="1"/>
  <c r="R34" i="5"/>
  <c r="G42" i="4" s="1"/>
  <c r="R31" i="5"/>
  <c r="G39" i="4" s="1"/>
  <c r="J8" i="4" s="1"/>
  <c r="L8" i="4" s="1"/>
  <c r="R30" i="5"/>
  <c r="G38" i="4" s="1"/>
  <c r="O33" i="5"/>
  <c r="R33" i="5" s="1"/>
  <c r="G41" i="4" s="1"/>
  <c r="I65" i="5"/>
  <c r="G65" i="5"/>
  <c r="E65" i="5"/>
  <c r="E64" i="5"/>
  <c r="D65" i="1"/>
  <c r="D6" i="1" s="1"/>
  <c r="E65" i="1"/>
  <c r="G65" i="1"/>
  <c r="Z6" i="1" s="1"/>
  <c r="Y6" i="1" s="1"/>
  <c r="C65" i="1"/>
  <c r="B20" i="5"/>
  <c r="B19" i="5"/>
  <c r="B18" i="5"/>
  <c r="C23" i="4" s="1"/>
  <c r="B17" i="5"/>
  <c r="C22" i="4" s="1"/>
  <c r="B14" i="5"/>
  <c r="B15" i="5"/>
  <c r="C20" i="4" s="1"/>
  <c r="B13" i="5"/>
  <c r="C18" i="4" s="1"/>
  <c r="AC37" i="5"/>
  <c r="AB37" i="5"/>
  <c r="AC36" i="5"/>
  <c r="AB36" i="5"/>
  <c r="AC35" i="5"/>
  <c r="AB35" i="5"/>
  <c r="AA36" i="5"/>
  <c r="AA35" i="5"/>
  <c r="AF34" i="5"/>
  <c r="AE34" i="5"/>
  <c r="AD34" i="5"/>
  <c r="AC34" i="5"/>
  <c r="AB34" i="5"/>
  <c r="AA34" i="5"/>
  <c r="Z34" i="5"/>
  <c r="AC24" i="5"/>
  <c r="O29" i="8" s="1"/>
  <c r="AC26" i="5"/>
  <c r="AB26" i="5"/>
  <c r="AA26" i="5"/>
  <c r="B16" i="5"/>
  <c r="C21" i="4" s="1"/>
  <c r="B12" i="5"/>
  <c r="C20" i="1" s="1"/>
  <c r="O33" i="1"/>
  <c r="O34" i="1"/>
  <c r="O35" i="1"/>
  <c r="O36" i="1"/>
  <c r="O37" i="1"/>
  <c r="O38" i="1"/>
  <c r="C17" i="1"/>
  <c r="X5" i="1" s="1"/>
  <c r="R32" i="5"/>
  <c r="G40" i="4" s="1"/>
  <c r="C28" i="4"/>
  <c r="D9" i="4" s="1"/>
  <c r="F9" i="4" s="1"/>
  <c r="Q9" i="4" s="1"/>
  <c r="C29" i="4"/>
  <c r="D11" i="4" s="1"/>
  <c r="F11" i="4" s="1"/>
  <c r="Q11" i="4" s="1"/>
  <c r="D4" i="5"/>
  <c r="D3" i="5"/>
  <c r="D8" i="5"/>
  <c r="F8" i="5"/>
  <c r="P17" i="5"/>
  <c r="P18" i="5" s="1"/>
  <c r="P19" i="5"/>
  <c r="P15" i="5"/>
  <c r="E44" i="3"/>
  <c r="G44" i="3"/>
  <c r="C44" i="3"/>
  <c r="E53" i="3"/>
  <c r="G53" i="3"/>
  <c r="H53" i="3"/>
  <c r="C53" i="3"/>
  <c r="F51" i="3"/>
  <c r="F52" i="3"/>
  <c r="F50" i="3"/>
  <c r="F41" i="3"/>
  <c r="F42" i="3"/>
  <c r="F43" i="3"/>
  <c r="L7" i="3" s="1"/>
  <c r="F40" i="3"/>
  <c r="E34" i="3"/>
  <c r="G34" i="3"/>
  <c r="C34" i="3"/>
  <c r="C5" i="3" s="1"/>
  <c r="D52" i="3"/>
  <c r="D51" i="3"/>
  <c r="D50" i="3"/>
  <c r="D43" i="3"/>
  <c r="D42" i="3"/>
  <c r="D41" i="3"/>
  <c r="D40" i="3"/>
  <c r="D33" i="3"/>
  <c r="D32" i="3"/>
  <c r="D31" i="3"/>
  <c r="F50" i="2"/>
  <c r="F51" i="2"/>
  <c r="F49" i="2"/>
  <c r="E52" i="2"/>
  <c r="G52" i="2"/>
  <c r="C52" i="2"/>
  <c r="E44" i="2"/>
  <c r="G44" i="2"/>
  <c r="C44" i="2"/>
  <c r="E34" i="2"/>
  <c r="G34" i="2"/>
  <c r="C34" i="2"/>
  <c r="C5" i="2" s="1"/>
  <c r="F41" i="2"/>
  <c r="F42" i="2"/>
  <c r="F43" i="2"/>
  <c r="F40" i="2"/>
  <c r="D51" i="2"/>
  <c r="D50" i="2"/>
  <c r="D49" i="2"/>
  <c r="D43" i="2"/>
  <c r="D42" i="2"/>
  <c r="D41" i="2"/>
  <c r="D40" i="2"/>
  <c r="D33" i="2"/>
  <c r="D32" i="2"/>
  <c r="H6" i="5"/>
  <c r="G4" i="5"/>
  <c r="G3" i="5"/>
  <c r="F57" i="1"/>
  <c r="E11" i="1" s="1"/>
  <c r="C53" i="5"/>
  <c r="C46" i="5"/>
  <c r="C38" i="5"/>
  <c r="E56" i="1"/>
  <c r="G56" i="1"/>
  <c r="H56" i="1"/>
  <c r="C56" i="1"/>
  <c r="C9" i="1" s="1"/>
  <c r="H9" i="1" s="1"/>
  <c r="E48" i="1"/>
  <c r="G48" i="1"/>
  <c r="Z7" i="1" s="1"/>
  <c r="C48" i="1"/>
  <c r="E38" i="1"/>
  <c r="G38" i="1"/>
  <c r="Z5" i="1" s="1"/>
  <c r="C38" i="1"/>
  <c r="C5" i="1" s="1"/>
  <c r="F54" i="1"/>
  <c r="F55" i="1"/>
  <c r="F53" i="1"/>
  <c r="F44" i="1"/>
  <c r="F45" i="1"/>
  <c r="F46" i="1"/>
  <c r="F47" i="1"/>
  <c r="F43" i="1"/>
  <c r="D55" i="1"/>
  <c r="D54" i="1"/>
  <c r="D47" i="1"/>
  <c r="D46" i="1"/>
  <c r="D45" i="1"/>
  <c r="D44" i="1"/>
  <c r="D43" i="1"/>
  <c r="D37" i="1"/>
  <c r="D36" i="1"/>
  <c r="D35" i="1"/>
  <c r="D34" i="1"/>
  <c r="V25" i="6"/>
  <c r="V26" i="6"/>
  <c r="V24" i="6"/>
  <c r="V16" i="6"/>
  <c r="V17" i="6"/>
  <c r="V18" i="6"/>
  <c r="V15" i="6"/>
  <c r="V7" i="6"/>
  <c r="V8" i="6"/>
  <c r="V6" i="6"/>
  <c r="M25" i="6"/>
  <c r="M26" i="6"/>
  <c r="M24" i="6"/>
  <c r="M16" i="6"/>
  <c r="M17" i="6"/>
  <c r="M18" i="6"/>
  <c r="M15" i="6"/>
  <c r="M7" i="6"/>
  <c r="M8" i="6"/>
  <c r="M6" i="6"/>
  <c r="D26" i="6"/>
  <c r="D25" i="6"/>
  <c r="D16" i="6"/>
  <c r="D17" i="6"/>
  <c r="D18" i="6"/>
  <c r="D19" i="6"/>
  <c r="D15" i="6"/>
  <c r="D7" i="6"/>
  <c r="D8" i="6"/>
  <c r="D9" i="6"/>
  <c r="D6" i="6"/>
  <c r="P2" i="5"/>
  <c r="P4" i="5"/>
  <c r="P5" i="5" s="1"/>
  <c r="P6" i="5"/>
  <c r="D25" i="5"/>
  <c r="E25" i="5"/>
  <c r="D26" i="5"/>
  <c r="E26" i="5"/>
  <c r="D27" i="5"/>
  <c r="E27" i="5"/>
  <c r="X6" i="1" l="1"/>
  <c r="X10" i="1"/>
  <c r="U9" i="4"/>
  <c r="V9" i="4" s="1"/>
  <c r="H14" i="4"/>
  <c r="Q14" i="4"/>
  <c r="U14" i="4" s="1"/>
  <c r="V14" i="4" s="1"/>
  <c r="H4" i="4"/>
  <c r="Q4" i="4"/>
  <c r="U4" i="4" s="1"/>
  <c r="V4" i="4" s="1"/>
  <c r="J13" i="4"/>
  <c r="L13" i="4" s="1"/>
  <c r="Q13" i="4"/>
  <c r="U13" i="4" s="1"/>
  <c r="V13" i="4" s="1"/>
  <c r="H15" i="4"/>
  <c r="Q15" i="4"/>
  <c r="U15" i="4" s="1"/>
  <c r="V15" i="4" s="1"/>
  <c r="J5" i="4"/>
  <c r="Q5" i="4"/>
  <c r="U5" i="4" s="1"/>
  <c r="V5" i="4" s="1"/>
  <c r="J6" i="4"/>
  <c r="L6" i="4" s="1"/>
  <c r="Q6" i="4"/>
  <c r="U6" i="4" s="1"/>
  <c r="V6" i="4" s="1"/>
  <c r="H6" i="4"/>
  <c r="H13" i="4"/>
  <c r="J14" i="4"/>
  <c r="L14" i="4" s="1"/>
  <c r="J7" i="4"/>
  <c r="L7" i="4" s="1"/>
  <c r="J15" i="4"/>
  <c r="L15" i="4" s="1"/>
  <c r="K5" i="4"/>
  <c r="L5" i="4" s="1"/>
  <c r="H5" i="4"/>
  <c r="H11" i="4"/>
  <c r="J11" i="4"/>
  <c r="L11" i="4" s="1"/>
  <c r="J9" i="4"/>
  <c r="L9" i="4" s="1"/>
  <c r="H9" i="4"/>
  <c r="D43" i="8"/>
  <c r="D7" i="8" s="1"/>
  <c r="E6" i="8"/>
  <c r="M6" i="8" s="1"/>
  <c r="L7" i="8"/>
  <c r="E7" i="8"/>
  <c r="M7" i="8" s="1"/>
  <c r="N7" i="8" s="1"/>
  <c r="H5" i="3"/>
  <c r="G5" i="3" s="1"/>
  <c r="O32" i="8"/>
  <c r="O33" i="8"/>
  <c r="O34" i="8"/>
  <c r="H5" i="8"/>
  <c r="G5" i="8" s="1"/>
  <c r="F33" i="8"/>
  <c r="F31" i="8"/>
  <c r="F32" i="8"/>
  <c r="G20" i="5"/>
  <c r="C25" i="4"/>
  <c r="G19" i="5"/>
  <c r="C24" i="4"/>
  <c r="E9" i="8"/>
  <c r="M9" i="8" s="1"/>
  <c r="N9" i="8" s="1"/>
  <c r="E10" i="8"/>
  <c r="M10" i="8" s="1"/>
  <c r="N10" i="8" s="1"/>
  <c r="E8" i="8"/>
  <c r="M8" i="8" s="1"/>
  <c r="N8" i="8" s="1"/>
  <c r="D6" i="8"/>
  <c r="I6" i="8"/>
  <c r="I7" i="8"/>
  <c r="J7" i="8" s="1"/>
  <c r="P31" i="8"/>
  <c r="C9" i="3"/>
  <c r="H9" i="3" s="1"/>
  <c r="C10" i="3"/>
  <c r="H10" i="3" s="1"/>
  <c r="C8" i="3"/>
  <c r="H8" i="3" s="1"/>
  <c r="C7" i="3"/>
  <c r="H7" i="3" s="1"/>
  <c r="C6" i="3"/>
  <c r="H6" i="3" s="1"/>
  <c r="N40" i="8"/>
  <c r="N40" i="3"/>
  <c r="AF36" i="5"/>
  <c r="O33" i="3"/>
  <c r="O34" i="3"/>
  <c r="P34" i="3" s="1"/>
  <c r="O32" i="3"/>
  <c r="N42" i="3"/>
  <c r="N42" i="8"/>
  <c r="AA37" i="5"/>
  <c r="N38" i="3"/>
  <c r="N38" i="8"/>
  <c r="N39" i="3"/>
  <c r="N39" i="8"/>
  <c r="AD37" i="5"/>
  <c r="N41" i="8"/>
  <c r="N41" i="3"/>
  <c r="Y5" i="1"/>
  <c r="Y7" i="1"/>
  <c r="H5" i="2"/>
  <c r="N41" i="2"/>
  <c r="M46" i="1"/>
  <c r="AF35" i="5"/>
  <c r="O34" i="2"/>
  <c r="P34" i="2" s="1"/>
  <c r="O33" i="2"/>
  <c r="P33" i="2" s="1"/>
  <c r="O32" i="2"/>
  <c r="P32" i="2" s="1"/>
  <c r="C21" i="8"/>
  <c r="C21" i="3"/>
  <c r="N39" i="2"/>
  <c r="O7" i="2" s="1"/>
  <c r="Q7" i="2" s="1"/>
  <c r="M44" i="1"/>
  <c r="M45" i="1"/>
  <c r="N40" i="2"/>
  <c r="C20" i="8"/>
  <c r="C20" i="3"/>
  <c r="N42" i="2"/>
  <c r="M47" i="1"/>
  <c r="O11" i="1" s="1"/>
  <c r="C23" i="8"/>
  <c r="C23" i="3"/>
  <c r="C22" i="8"/>
  <c r="C22" i="3"/>
  <c r="C19" i="8"/>
  <c r="C19" i="3"/>
  <c r="C24" i="8"/>
  <c r="C24" i="3"/>
  <c r="N38" i="2"/>
  <c r="O6" i="2" s="1"/>
  <c r="Q6" i="2" s="1"/>
  <c r="M43" i="1"/>
  <c r="C8" i="2"/>
  <c r="H8" i="2" s="1"/>
  <c r="C10" i="2"/>
  <c r="H10" i="2" s="1"/>
  <c r="C9" i="2"/>
  <c r="H9" i="2" s="1"/>
  <c r="C7" i="2"/>
  <c r="H7" i="2" s="1"/>
  <c r="C6" i="2"/>
  <c r="H6" i="2" s="1"/>
  <c r="G15" i="5"/>
  <c r="C23" i="1"/>
  <c r="C21" i="2"/>
  <c r="G14" i="5"/>
  <c r="C20" i="2"/>
  <c r="C22" i="1"/>
  <c r="G16" i="5"/>
  <c r="C22" i="2"/>
  <c r="C24" i="1"/>
  <c r="AE37" i="5"/>
  <c r="G17" i="5"/>
  <c r="C25" i="1"/>
  <c r="C23" i="2"/>
  <c r="F31" i="2"/>
  <c r="G18" i="5"/>
  <c r="C26" i="1"/>
  <c r="C24" i="2"/>
  <c r="C21" i="1"/>
  <c r="C19" i="2"/>
  <c r="Z11" i="1"/>
  <c r="Z9" i="1"/>
  <c r="Y9" i="1" s="1"/>
  <c r="Z10" i="1"/>
  <c r="Y10" i="1" s="1"/>
  <c r="P11" i="1"/>
  <c r="C15" i="1"/>
  <c r="AE36" i="5"/>
  <c r="I9" i="1"/>
  <c r="G9" i="1"/>
  <c r="E9" i="1"/>
  <c r="L11" i="1"/>
  <c r="L10" i="1"/>
  <c r="L6" i="1"/>
  <c r="L5" i="1"/>
  <c r="L9" i="1"/>
  <c r="M11" i="1"/>
  <c r="N11" i="1" s="1"/>
  <c r="H5" i="1"/>
  <c r="G5" i="1" s="1"/>
  <c r="G13" i="5"/>
  <c r="AD36" i="5"/>
  <c r="F63" i="1"/>
  <c r="G12" i="5"/>
  <c r="AF37" i="5"/>
  <c r="AE35" i="5"/>
  <c r="F61" i="1"/>
  <c r="AD35" i="5"/>
  <c r="F62" i="1"/>
  <c r="F64" i="1"/>
  <c r="H6" i="1"/>
  <c r="R39" i="5"/>
  <c r="R40" i="5"/>
  <c r="C10" i="1"/>
  <c r="H10" i="1" s="1"/>
  <c r="G10" i="1" s="1"/>
  <c r="E10" i="1"/>
  <c r="L8" i="1"/>
  <c r="L7" i="1"/>
  <c r="Z8" i="1"/>
  <c r="C8" i="1"/>
  <c r="H8" i="1" s="1"/>
  <c r="G8" i="1" s="1"/>
  <c r="D10" i="4"/>
  <c r="F10" i="4" s="1"/>
  <c r="Q10" i="4" s="1"/>
  <c r="U10" i="4" s="1"/>
  <c r="V10" i="4" s="1"/>
  <c r="D12" i="4"/>
  <c r="F12" i="4" s="1"/>
  <c r="Q12" i="4" s="1"/>
  <c r="U12" i="4" s="1"/>
  <c r="V12" i="4" s="1"/>
  <c r="P22" i="5"/>
  <c r="P23" i="5" s="1"/>
  <c r="F33" i="2"/>
  <c r="F33" i="3"/>
  <c r="F32" i="2"/>
  <c r="F32" i="3"/>
  <c r="F31" i="3"/>
  <c r="F53" i="3"/>
  <c r="D53" i="3"/>
  <c r="D44" i="3"/>
  <c r="D34" i="3"/>
  <c r="F44" i="3"/>
  <c r="F52" i="2"/>
  <c r="D44" i="2"/>
  <c r="D52" i="2"/>
  <c r="D34" i="2"/>
  <c r="F44" i="2"/>
  <c r="C11" i="1"/>
  <c r="H11" i="1" s="1"/>
  <c r="G11" i="1" s="1"/>
  <c r="F36" i="1"/>
  <c r="F35" i="1"/>
  <c r="F34" i="1"/>
  <c r="F37" i="1"/>
  <c r="C7" i="1"/>
  <c r="H7" i="1" s="1"/>
  <c r="G7" i="1" s="1"/>
  <c r="F48" i="1"/>
  <c r="D56" i="1"/>
  <c r="D9" i="1" s="1"/>
  <c r="F56" i="1"/>
  <c r="D48" i="1"/>
  <c r="D38" i="1"/>
  <c r="P9" i="5"/>
  <c r="P10" i="5" s="1"/>
  <c r="J12" i="4" l="1"/>
  <c r="L12" i="4" s="1"/>
  <c r="H12" i="4"/>
  <c r="J10" i="4"/>
  <c r="L10" i="4" s="1"/>
  <c r="H10" i="4"/>
  <c r="N45" i="8"/>
  <c r="H35" i="4"/>
  <c r="K4" i="4" s="1"/>
  <c r="I5" i="8"/>
  <c r="J5" i="8" s="1"/>
  <c r="O7" i="8"/>
  <c r="Q7" i="8" s="1"/>
  <c r="O8" i="8"/>
  <c r="Q8" i="8" s="1"/>
  <c r="O6" i="8"/>
  <c r="Q6" i="8" s="1"/>
  <c r="I5" i="3"/>
  <c r="O10" i="8"/>
  <c r="Q10" i="8" s="1"/>
  <c r="F20" i="1"/>
  <c r="O9" i="8"/>
  <c r="Q9" i="8" s="1"/>
  <c r="F34" i="8"/>
  <c r="E5" i="8" s="1"/>
  <c r="M5" i="8" s="1"/>
  <c r="N5" i="8" s="1"/>
  <c r="P5" i="8" s="1"/>
  <c r="N6" i="8"/>
  <c r="L6" i="8"/>
  <c r="I10" i="8"/>
  <c r="J10" i="8" s="1"/>
  <c r="P34" i="8"/>
  <c r="I7" i="3"/>
  <c r="G7" i="3"/>
  <c r="I8" i="3"/>
  <c r="G8" i="3"/>
  <c r="G10" i="3"/>
  <c r="I10" i="3"/>
  <c r="E7" i="3"/>
  <c r="M7" i="3" s="1"/>
  <c r="E6" i="3"/>
  <c r="M6" i="3" s="1"/>
  <c r="E9" i="3"/>
  <c r="M9" i="3" s="1"/>
  <c r="E10" i="3"/>
  <c r="D10" i="3" s="1"/>
  <c r="E8" i="3"/>
  <c r="D8" i="3" s="1"/>
  <c r="G6" i="3"/>
  <c r="I6" i="3"/>
  <c r="G9" i="3"/>
  <c r="I9" i="3"/>
  <c r="S8" i="8"/>
  <c r="P33" i="3"/>
  <c r="J6" i="8"/>
  <c r="P29" i="8"/>
  <c r="P32" i="3"/>
  <c r="N45" i="2"/>
  <c r="N45" i="3"/>
  <c r="G10" i="2"/>
  <c r="I10" i="2"/>
  <c r="I5" i="2"/>
  <c r="G5" i="2"/>
  <c r="G6" i="2"/>
  <c r="I6" i="2"/>
  <c r="D6" i="2"/>
  <c r="G8" i="2"/>
  <c r="I8" i="2"/>
  <c r="I7" i="2"/>
  <c r="D7" i="2"/>
  <c r="G7" i="2"/>
  <c r="G9" i="2"/>
  <c r="I9" i="2"/>
  <c r="D9" i="3"/>
  <c r="Y11" i="1"/>
  <c r="Y8" i="1"/>
  <c r="F24" i="8"/>
  <c r="F24" i="3"/>
  <c r="F20" i="8"/>
  <c r="F20" i="3"/>
  <c r="F23" i="8"/>
  <c r="F23" i="3"/>
  <c r="F22" i="3"/>
  <c r="F22" i="8"/>
  <c r="F19" i="8"/>
  <c r="F19" i="3"/>
  <c r="F21" i="8"/>
  <c r="F21" i="3"/>
  <c r="U7" i="3" s="1"/>
  <c r="V7" i="3" s="1"/>
  <c r="AB7" i="3" s="1"/>
  <c r="AA7" i="3" s="1"/>
  <c r="E6" i="2"/>
  <c r="E7" i="2"/>
  <c r="E10" i="2"/>
  <c r="D10" i="2" s="1"/>
  <c r="E9" i="2"/>
  <c r="D9" i="2" s="1"/>
  <c r="E8" i="2"/>
  <c r="P8" i="2" s="1"/>
  <c r="F21" i="1"/>
  <c r="F19" i="2"/>
  <c r="F24" i="2"/>
  <c r="F26" i="1"/>
  <c r="U11" i="1" s="1"/>
  <c r="V11" i="1" s="1"/>
  <c r="AB11" i="1" s="1"/>
  <c r="AA11" i="1" s="1"/>
  <c r="F20" i="2"/>
  <c r="U6" i="2" s="1"/>
  <c r="V6" i="2" s="1"/>
  <c r="AB6" i="2" s="1"/>
  <c r="AA6" i="2" s="1"/>
  <c r="F22" i="1"/>
  <c r="F21" i="2"/>
  <c r="U7" i="2" s="1"/>
  <c r="V7" i="2" s="1"/>
  <c r="AB7" i="2" s="1"/>
  <c r="AA7" i="2" s="1"/>
  <c r="F23" i="1"/>
  <c r="F25" i="1"/>
  <c r="U10" i="1" s="1"/>
  <c r="V10" i="1" s="1"/>
  <c r="AB10" i="1" s="1"/>
  <c r="AA10" i="1" s="1"/>
  <c r="F23" i="2"/>
  <c r="F22" i="2"/>
  <c r="F24" i="1"/>
  <c r="U9" i="1" s="1"/>
  <c r="V9" i="1" s="1"/>
  <c r="AB9" i="1" s="1"/>
  <c r="AA9" i="1" s="1"/>
  <c r="M9" i="1"/>
  <c r="N9" i="1" s="1"/>
  <c r="M10" i="1"/>
  <c r="N10" i="1" s="1"/>
  <c r="Q11" i="1"/>
  <c r="S11" i="1"/>
  <c r="P10" i="1"/>
  <c r="P9" i="1"/>
  <c r="O9" i="1"/>
  <c r="O10" i="1"/>
  <c r="M51" i="1"/>
  <c r="R29" i="5"/>
  <c r="G35" i="4" s="1"/>
  <c r="J4" i="4" s="1"/>
  <c r="M50" i="1"/>
  <c r="R28" i="5"/>
  <c r="M41" i="1" s="1"/>
  <c r="I5" i="1"/>
  <c r="I8" i="1"/>
  <c r="J8" i="1" s="1"/>
  <c r="I11" i="1"/>
  <c r="J11" i="1" s="1"/>
  <c r="J9" i="1"/>
  <c r="F65" i="1"/>
  <c r="E6" i="1" s="1"/>
  <c r="I7" i="1"/>
  <c r="J7" i="1" s="1"/>
  <c r="I10" i="1"/>
  <c r="J10" i="1" s="1"/>
  <c r="G6" i="1"/>
  <c r="I6" i="1"/>
  <c r="D11" i="1"/>
  <c r="D10" i="1"/>
  <c r="F34" i="3"/>
  <c r="E5" i="3" s="1"/>
  <c r="M5" i="3" s="1"/>
  <c r="E7" i="1"/>
  <c r="E8" i="1"/>
  <c r="D7" i="1"/>
  <c r="D8" i="1"/>
  <c r="F34" i="2"/>
  <c r="E5" i="2" s="1"/>
  <c r="D5" i="2" s="1"/>
  <c r="H5" i="5"/>
  <c r="G5" i="5" s="1"/>
  <c r="F38" i="1"/>
  <c r="D5" i="1"/>
  <c r="G6" i="5"/>
  <c r="L4" i="4" l="1"/>
  <c r="U10" i="2"/>
  <c r="V10" i="2" s="1"/>
  <c r="AB10" i="2" s="1"/>
  <c r="AA10" i="2" s="1"/>
  <c r="M10" i="3"/>
  <c r="N10" i="3" s="1"/>
  <c r="S7" i="8"/>
  <c r="U9" i="3"/>
  <c r="V9" i="3" s="1"/>
  <c r="AB9" i="3" s="1"/>
  <c r="AA9" i="3" s="1"/>
  <c r="J9" i="3"/>
  <c r="J10" i="3"/>
  <c r="M8" i="3"/>
  <c r="O8" i="3" s="1"/>
  <c r="Q8" i="3" s="1"/>
  <c r="U5" i="8"/>
  <c r="V5" i="8" s="1"/>
  <c r="AB5" i="8" s="1"/>
  <c r="AA5" i="8" s="1"/>
  <c r="U9" i="8"/>
  <c r="V9" i="8" s="1"/>
  <c r="AB9" i="8" s="1"/>
  <c r="AA9" i="8" s="1"/>
  <c r="U10" i="8"/>
  <c r="V10" i="8" s="1"/>
  <c r="AB10" i="8" s="1"/>
  <c r="AA10" i="8" s="1"/>
  <c r="U8" i="8"/>
  <c r="V8" i="8" s="1"/>
  <c r="AB8" i="8" s="1"/>
  <c r="AA8" i="8" s="1"/>
  <c r="U7" i="8"/>
  <c r="V7" i="8" s="1"/>
  <c r="AB7" i="8" s="1"/>
  <c r="AA7" i="8" s="1"/>
  <c r="U6" i="8"/>
  <c r="V6" i="8" s="1"/>
  <c r="AB6" i="8" s="1"/>
  <c r="AA6" i="8" s="1"/>
  <c r="S9" i="8"/>
  <c r="S10" i="8"/>
  <c r="P33" i="8"/>
  <c r="I9" i="8"/>
  <c r="J9" i="8" s="1"/>
  <c r="I8" i="8"/>
  <c r="J8" i="8" s="1"/>
  <c r="P32" i="8"/>
  <c r="P5" i="3"/>
  <c r="N5" i="3"/>
  <c r="O6" i="3"/>
  <c r="N6" i="3"/>
  <c r="O9" i="3"/>
  <c r="N9" i="3"/>
  <c r="N7" i="3"/>
  <c r="O7" i="3"/>
  <c r="S7" i="3" s="1"/>
  <c r="U6" i="3"/>
  <c r="V6" i="3" s="1"/>
  <c r="AB6" i="3" s="1"/>
  <c r="AA6" i="3" s="1"/>
  <c r="J7" i="3"/>
  <c r="U8" i="3"/>
  <c r="V8" i="3" s="1"/>
  <c r="AB8" i="3" s="1"/>
  <c r="AA8" i="3" s="1"/>
  <c r="D5" i="3"/>
  <c r="D6" i="3"/>
  <c r="J8" i="3"/>
  <c r="U5" i="3"/>
  <c r="V5" i="3" s="1"/>
  <c r="AB5" i="3" s="1"/>
  <c r="AA5" i="3" s="1"/>
  <c r="U10" i="3"/>
  <c r="V10" i="3" s="1"/>
  <c r="AB10" i="3" s="1"/>
  <c r="AA10" i="3" s="1"/>
  <c r="J6" i="3"/>
  <c r="D7" i="3"/>
  <c r="U8" i="2"/>
  <c r="V8" i="2" s="1"/>
  <c r="AB8" i="2" s="1"/>
  <c r="AA8" i="2" s="1"/>
  <c r="N37" i="3"/>
  <c r="O5" i="3" s="1"/>
  <c r="N37" i="8"/>
  <c r="O5" i="8" s="1"/>
  <c r="Q5" i="8" s="1"/>
  <c r="U9" i="2"/>
  <c r="V9" i="2" s="1"/>
  <c r="AB9" i="2" s="1"/>
  <c r="AA9" i="2" s="1"/>
  <c r="J5" i="2"/>
  <c r="U5" i="2"/>
  <c r="V5" i="2" s="1"/>
  <c r="AB5" i="2" s="1"/>
  <c r="AA5" i="2" s="1"/>
  <c r="D8" i="2"/>
  <c r="J5" i="3"/>
  <c r="J10" i="2"/>
  <c r="N37" i="2"/>
  <c r="M42" i="1"/>
  <c r="O6" i="1" s="1"/>
  <c r="J9" i="2"/>
  <c r="M9" i="2"/>
  <c r="M10" i="2"/>
  <c r="M8" i="2"/>
  <c r="M6" i="2"/>
  <c r="M5" i="2"/>
  <c r="M7" i="2"/>
  <c r="S7" i="2"/>
  <c r="U6" i="1"/>
  <c r="V6" i="1" s="1"/>
  <c r="AB6" i="1" s="1"/>
  <c r="AA6" i="1" s="1"/>
  <c r="U7" i="1"/>
  <c r="V7" i="1" s="1"/>
  <c r="AB7" i="1" s="1"/>
  <c r="AA7" i="1" s="1"/>
  <c r="U8" i="1"/>
  <c r="V8" i="1" s="1"/>
  <c r="AB8" i="1" s="1"/>
  <c r="AA8" i="1" s="1"/>
  <c r="J7" i="2"/>
  <c r="J6" i="2"/>
  <c r="Q9" i="1"/>
  <c r="S9" i="1"/>
  <c r="Q10" i="1"/>
  <c r="S10" i="1"/>
  <c r="M7" i="1"/>
  <c r="N7" i="1" s="1"/>
  <c r="O7" i="1"/>
  <c r="P7" i="1"/>
  <c r="M8" i="1"/>
  <c r="N8" i="1" s="1"/>
  <c r="P8" i="1"/>
  <c r="O8" i="1"/>
  <c r="M6" i="1"/>
  <c r="N6" i="1" s="1"/>
  <c r="P6" i="1"/>
  <c r="J6" i="1"/>
  <c r="E5" i="1"/>
  <c r="O10" i="3" l="1"/>
  <c r="Q10" i="3" s="1"/>
  <c r="N8" i="3"/>
  <c r="S5" i="8"/>
  <c r="Q7" i="3"/>
  <c r="S5" i="3"/>
  <c r="S6" i="8"/>
  <c r="Q6" i="3"/>
  <c r="S6" i="3"/>
  <c r="S8" i="3"/>
  <c r="P5" i="2"/>
  <c r="N5" i="2"/>
  <c r="O5" i="2"/>
  <c r="O9" i="2"/>
  <c r="Q9" i="2" s="1"/>
  <c r="N9" i="2"/>
  <c r="N8" i="2"/>
  <c r="O8" i="2"/>
  <c r="Q8" i="2" s="1"/>
  <c r="Q5" i="3"/>
  <c r="O10" i="2"/>
  <c r="Q10" i="2" s="1"/>
  <c r="N10" i="2"/>
  <c r="Q9" i="3"/>
  <c r="S9" i="3"/>
  <c r="S6" i="2"/>
  <c r="J8" i="2"/>
  <c r="Q8" i="1"/>
  <c r="S8" i="1"/>
  <c r="Q6" i="1"/>
  <c r="S6" i="1"/>
  <c r="Q7" i="1"/>
  <c r="S7" i="1"/>
  <c r="M5" i="1"/>
  <c r="N5" i="1" s="1"/>
  <c r="P5" i="1"/>
  <c r="U5" i="1"/>
  <c r="V5" i="1" s="1"/>
  <c r="AB5" i="1" s="1"/>
  <c r="AA5" i="1" s="1"/>
  <c r="O5" i="1"/>
  <c r="J5" i="1"/>
  <c r="S10" i="3" l="1"/>
  <c r="S9" i="2"/>
  <c r="S5" i="2"/>
  <c r="S10" i="2"/>
  <c r="S8" i="2"/>
  <c r="Q5" i="2"/>
  <c r="Q5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139A1560-E1BE-460D-A162-F79C98296906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057A1775-6C36-4BA7-B32F-24BB52F8CD55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  <comment ref="C32" authorId="0" shapeId="0" xr:uid="{1D8F2EFC-AE4B-4547-A808-AABEAEAD0AA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E32" authorId="0" shapeId="0" xr:uid="{FDBEEC34-2F56-4DA1-A5CE-82991F751BE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  <comment ref="C33" authorId="0" shapeId="0" xr:uid="{F4F39B3A-9FDE-4D10-B5F2-736E0947C3C5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E33" authorId="0" shapeId="0" xr:uid="{50F2C45F-3149-496A-91EC-D2059DAE3D0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558C9615-DCB5-4844-A7CA-19E0C92C82DF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  <comment ref="C32" authorId="0" shapeId="0" xr:uid="{EAA6EE97-94A9-40D7-91A1-7011AFDEB258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250-400</t>
        </r>
      </text>
    </comment>
    <comment ref="E32" authorId="0" shapeId="0" xr:uid="{3811FB90-02BC-4BC0-9D60-0767C2A1C86F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0,38-0,42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9AB772E2-9B49-4BD0-B257-103035B7A858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I18" authorId="0" shapeId="0" xr:uid="{3D178B29-52D6-48E6-930D-2085A0FF030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energia termica media richiesta per 100 m2 in IT</t>
        </r>
      </text>
    </comment>
    <comment ref="F52" authorId="0" shapeId="0" xr:uid="{82F54E96-F601-4258-B7BE-649152DE6C9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dato ipotizzato con proporzionalità manutenzione metano rispetto al CAPEx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B67" authorId="0" shapeId="0" xr:uid="{9C80DDC8-B36C-4676-A2EA-B12DD0E6F820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senza ombreggiamento con angolo di tilt (lat -10° ovvero 36° ma va bene ache 30°)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O30" authorId="0" shapeId="0" xr:uid="{D9E58767-649D-4474-ABFC-81F7A000FDC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ISPRA 2024</t>
        </r>
      </text>
    </comment>
    <comment ref="O35" authorId="0" shapeId="0" xr:uid="{D1E6C9B6-30DB-48A9-A242-CCBC185C1A25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È fondamentale capire che questo valore non è la CO₂ della combustione finale (che è circa 0,200 kg/kWh), ma solo quella "nascosta" nella filiera a monte.
Le emissioni "Well-to-Tank" sono dominate da due componenti principali:
1. Emissioni fuggitive di Metano (CH₄) Questo è il fattore più importante e più variabile. Include tutte le perdite di gas metano (CH₄) lungo la filiera (estrazione, valvole, trasporto).
Il metano è un gas serra molto più potente della CO₂. Usando un potenziale di riscaldamento globale (GWP) a 100 anni di 28 (standard IPCC AR5/AR6), anche una piccola perdita ha un grande impatto.
Con un tasso di perdita medio globale stimato tra l'1,5% e il 2,5%, questa componente da sola contribuisce per circa 0,03 - 0,05 kg CO₂eq/kWh.
2. Emissioni di CO₂ per le Operazioni Questa è la CO₂ emessa per far funzionare la filiera stessa.
Include il gas bruciato per alimentare i compressori lungo i gasdotti, l'energia per il trattamento del gas (es. rimozione zolfo) e, nel caso del GNL, l'energia enorme richiesta per la liquefazione e il trasporto navale.
Questa componente contribuisce per circa 0,015 - 0,020 kg CO₂eq/kWh.
In sintesi: quando si utilizza 1 kWh di energia da gas naturale, si sono già generati circa 0,055 kg di CO₂eq (in media) solo per farlo arrivare al punto di utilizzo.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7" authorId="0" shapeId="0" xr:uid="{F10E814F-4AD4-41BB-AAA7-75C72ED3C8F9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N7" authorId="0" shapeId="0" xr:uid="{74F6FE85-A3A4-49BB-AD43-66E3193E6DF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  <comment ref="U7" authorId="0" shapeId="0" xr:uid="{A2C1F892-F79F-47CD-A11C-DF0CD97A43D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250-400</t>
        </r>
      </text>
    </comment>
    <comment ref="W7" authorId="0" shapeId="0" xr:uid="{924A7AE0-AB4B-41F2-88AA-5E9143E6A0EA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0,38-0,42</t>
        </r>
      </text>
    </comment>
    <comment ref="L8" authorId="0" shapeId="0" xr:uid="{04ED66CF-05D9-43AA-AE6F-DB832E6348A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N8" authorId="0" shapeId="0" xr:uid="{D3F906A8-26EA-440B-894A-6A976C2124B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</commentList>
</comments>
</file>

<file path=xl/sharedStrings.xml><?xml version="1.0" encoding="utf-8"?>
<sst xmlns="http://schemas.openxmlformats.org/spreadsheetml/2006/main" count="2023" uniqueCount="682">
  <si>
    <t>AUTO</t>
  </si>
  <si>
    <t>BENZINA</t>
  </si>
  <si>
    <t>IDROGENO</t>
  </si>
  <si>
    <t>[km]</t>
  </si>
  <si>
    <t>Energia Primaria</t>
  </si>
  <si>
    <t>[kWh]</t>
  </si>
  <si>
    <t>[kWh/kg]</t>
  </si>
  <si>
    <t>[€/l]</t>
  </si>
  <si>
    <t>[€/kg]</t>
  </si>
  <si>
    <t>[€/kWh]</t>
  </si>
  <si>
    <t>Benzina</t>
  </si>
  <si>
    <t>Gasolio</t>
  </si>
  <si>
    <t>Tipologia di Ricarica</t>
  </si>
  <si>
    <t>Lenta (AC) - Casa</t>
  </si>
  <si>
    <t>Accelerata (AC)</t>
  </si>
  <si>
    <t>Fast / Rapida (DC)</t>
  </si>
  <si>
    <t>Ultra-Fast / Super-Rapida (DC)</t>
  </si>
  <si>
    <t>Potenza</t>
  </si>
  <si>
    <t>[kW]</t>
  </si>
  <si>
    <t>Tempo Ricarica</t>
  </si>
  <si>
    <t>Modello</t>
  </si>
  <si>
    <t>[min] per 50 kWh</t>
  </si>
  <si>
    <t>Costo</t>
  </si>
  <si>
    <t>Lenta (AC) - Autoprodotta</t>
  </si>
  <si>
    <t>Idrogeno grigio</t>
  </si>
  <si>
    <t>Idrogeno verde</t>
  </si>
  <si>
    <t>Pci</t>
  </si>
  <si>
    <t>ρ</t>
  </si>
  <si>
    <t>[kg/m3]</t>
  </si>
  <si>
    <t>[kg/dm3]</t>
  </si>
  <si>
    <t>p</t>
  </si>
  <si>
    <t>MM</t>
  </si>
  <si>
    <t>[g/mole]</t>
  </si>
  <si>
    <t>T</t>
  </si>
  <si>
    <t>[k]</t>
  </si>
  <si>
    <t>[bar]</t>
  </si>
  <si>
    <t>v</t>
  </si>
  <si>
    <t>[m3/kg]</t>
  </si>
  <si>
    <t>[°C]</t>
  </si>
  <si>
    <t>R</t>
  </si>
  <si>
    <t>[J/mol K]</t>
  </si>
  <si>
    <t>[kg/mole]</t>
  </si>
  <si>
    <t>Pressione</t>
  </si>
  <si>
    <t>[kPa]</t>
  </si>
  <si>
    <r>
      <t>ρ</t>
    </r>
    <r>
      <rPr>
        <vertAlign val="subscript"/>
        <sz val="11"/>
        <color theme="1"/>
        <rFont val="Calibri"/>
        <family val="2"/>
      </rPr>
      <t>liq</t>
    </r>
  </si>
  <si>
    <t>[kg]</t>
  </si>
  <si>
    <t>[l]</t>
  </si>
  <si>
    <t>COSTI fuel</t>
  </si>
  <si>
    <t>ENERGIA ELETTRICA</t>
  </si>
  <si>
    <t>Auto</t>
  </si>
  <si>
    <t>Camion</t>
  </si>
  <si>
    <t>-</t>
  </si>
  <si>
    <t>Autonomia</t>
  </si>
  <si>
    <t>BYD Dolphin (Cina)</t>
  </si>
  <si>
    <t>~ €35.000</t>
  </si>
  <si>
    <t>Compatta, leader di mercato</t>
  </si>
  <si>
    <t>Volkswagen ID.3</t>
  </si>
  <si>
    <t>Tesla Model 3</t>
  </si>
  <si>
    <t>Zeekr 001 (Cina)</t>
  </si>
  <si>
    <t>Station wagon premium</t>
  </si>
  <si>
    <t>Audi Q8 e-tron</t>
  </si>
  <si>
    <t>Consumo</t>
  </si>
  <si>
    <t>Serbatoio</t>
  </si>
  <si>
    <t>Note</t>
  </si>
  <si>
    <t>MG 5 (Cina)</t>
  </si>
  <si>
    <t>50 L</t>
  </si>
  <si>
    <t>Station wagon, ottimo valore</t>
  </si>
  <si>
    <t>Volkswagen Golf</t>
  </si>
  <si>
    <t>Audi A4</t>
  </si>
  <si>
    <t>54 L</t>
  </si>
  <si>
    <t>6,3 L/100km</t>
  </si>
  <si>
    <t>BMW X3</t>
  </si>
  <si>
    <t>65 L</t>
  </si>
  <si>
    <t>Diesel</t>
  </si>
  <si>
    <t>Maxus T90 (Cina)</t>
  </si>
  <si>
    <t>75 L</t>
  </si>
  <si>
    <t>1.200 km</t>
  </si>
  <si>
    <t>Pick-up, doppia trazione</t>
  </si>
  <si>
    <t>1.000 km</t>
  </si>
  <si>
    <t>5,0 L/100km</t>
  </si>
  <si>
    <t>1.100 km</t>
  </si>
  <si>
    <t>4,9 L/100km</t>
  </si>
  <si>
    <t>5,4 L/100km</t>
  </si>
  <si>
    <t>Idrogeno (FCEV)</t>
  </si>
  <si>
    <t>Deepal SL03 (Cina)</t>
  </si>
  <si>
    <t>?</t>
  </si>
  <si>
    <t>700 bar</t>
  </si>
  <si>
    <t>N/A</t>
  </si>
  <si>
    <t>Ancora in fase di sviluppo</t>
  </si>
  <si>
    <t>Toyota Mirai</t>
  </si>
  <si>
    <t>Hyundai Nexo</t>
  </si>
  <si>
    <t>FAW J7 (Cina)</t>
  </si>
  <si>
    <t>Leader mercato cinese</t>
  </si>
  <si>
    <t>Volvo FH</t>
  </si>
  <si>
    <t>Mercedes Actros</t>
  </si>
  <si>
    <t>Elettrico (BEV)</t>
  </si>
  <si>
    <t>Prezzo molto competitivo</t>
  </si>
  <si>
    <t>Mercedes eActros</t>
  </si>
  <si>
    <t>Volvo FH Electric</t>
  </si>
  <si>
    <t>Tesla Semi</t>
  </si>
  <si>
    <t>SANY EVI568 (Cina)</t>
  </si>
  <si>
    <t>Foton Auman (Cina)</t>
  </si>
  <si>
    <t>350 bar</t>
  </si>
  <si>
    <t>Progetto pilota in Cina</t>
  </si>
  <si>
    <t>Hyundai XCIENT</t>
  </si>
  <si>
    <t>Nikola Tre FCEV</t>
  </si>
  <si>
    <t>Yutong ZK6122 (Cina)</t>
  </si>
  <si>
    <t>Esportato in tutto il mondo</t>
  </si>
  <si>
    <t>Mercedes Citaro</t>
  </si>
  <si>
    <t>Volvo 7900</t>
  </si>
  <si>
    <t>BYD K9UB (Cina)</t>
  </si>
  <si>
    <t>Leader globale e-bus</t>
  </si>
  <si>
    <t>Irizie ie bus</t>
  </si>
  <si>
    <t>Volvo 7900 Electric</t>
  </si>
  <si>
    <t>Mercedes eCitaro</t>
  </si>
  <si>
    <t>Foton BJ6122 (Cina)</t>
  </si>
  <si>
    <t>Usato a Pechino 2022 Olimpiadi</t>
  </si>
  <si>
    <t>Solaris Urbino 12 hydrogen</t>
  </si>
  <si>
    <t>Mercedes eCitaro Fuel Cell</t>
  </si>
  <si>
    <t>BEV</t>
  </si>
  <si>
    <t>CAMION</t>
  </si>
  <si>
    <t>[l/km]</t>
  </si>
  <si>
    <t>[€]</t>
  </si>
  <si>
    <t>[kWh/km]</t>
  </si>
  <si>
    <t>[kg/km]</t>
  </si>
  <si>
    <t xml:space="preserve"> (Trattori Stradali - 40t)</t>
  </si>
  <si>
    <t>(12m Urbano/Suburbano)</t>
  </si>
  <si>
    <t>Vettore Energetico</t>
  </si>
  <si>
    <t>Processo Principale</t>
  </si>
  <si>
    <t>Note Principali</t>
  </si>
  <si>
    <t>Greggio → Raffinazione → Trasporto → Distributore</t>
  </si>
  <si>
    <t>~85%</t>
  </si>
  <si>
    <t>La raffinazione è un processo energivoro.</t>
  </si>
  <si>
    <t>Processo di raffinazione leggermente più efficiente della benzina.</t>
  </si>
  <si>
    <t>Idrogeno (da Metano)</t>
  </si>
  <si>
    <t>Steam Methane Reforming (SMR) → Compressione (700 bar)</t>
  </si>
  <si>
    <t>La compressione ad alta pressione richiede molta energia.</t>
  </si>
  <si>
    <t>Idrogeno (Elettrolisi)</t>
  </si>
  <si>
    <t>Elettricità → Elettrolisi → Compressione (700 bar)</t>
  </si>
  <si>
    <t>L'elettrolisi e la compressione sono processi molto inefficienti.</t>
  </si>
  <si>
    <t>Elettricità (Fotovoltaico)</t>
  </si>
  <si>
    <t>Sole → Inverter → Rete/Caricabordo → Batteria Auto</t>
  </si>
  <si>
    <t>Include perdite di inverter, trasmissione e ricarica della batteria.</t>
  </si>
  <si>
    <t>Vettore</t>
  </si>
  <si>
    <t>[kWh/dm3]</t>
  </si>
  <si>
    <t>[ - ]</t>
  </si>
  <si>
    <r>
      <t>η_</t>
    </r>
    <r>
      <rPr>
        <vertAlign val="subscript"/>
        <sz val="11"/>
        <color theme="1"/>
        <rFont val="Calibri"/>
        <family val="2"/>
      </rPr>
      <t>WtW</t>
    </r>
  </si>
  <si>
    <t>Elettrico</t>
  </si>
  <si>
    <t>Idrogeno</t>
  </si>
  <si>
    <t>Media</t>
  </si>
  <si>
    <t>[l/kWh/kg]</t>
  </si>
  <si>
    <t>COSTI FUEL</t>
  </si>
  <si>
    <t>Assunzioni:</t>
  </si>
  <si>
    <t>Lifetime</t>
  </si>
  <si>
    <t>Percorso</t>
  </si>
  <si>
    <t>km</t>
  </si>
  <si>
    <t>--&gt;</t>
  </si>
  <si>
    <t>% Uso</t>
  </si>
  <si>
    <t>Costo kWh (medio)</t>
  </si>
  <si>
    <t>Lenta (AC) - Casa (Rete)</t>
  </si>
  <si>
    <t>Accelerata (AC) - Pubblica</t>
  </si>
  <si>
    <t>TOTALE</t>
  </si>
  <si>
    <t>Scenario 2: Utente con Ricarica Casa FOTOVOLTAICO (Autoprodotta)</t>
  </si>
  <si>
    <t>Lenta (AC) - Casa (FV)</t>
  </si>
  <si>
    <t>Scenario 3: Utente SENZA Ricarica Casa (solo pubblico)</t>
  </si>
  <si>
    <t>Scenario 1: Utente con Ricarica Casa dalla RETE</t>
  </si>
  <si>
    <t>CAPEx</t>
  </si>
  <si>
    <t>OPEx</t>
  </si>
  <si>
    <t>[€/km]</t>
  </si>
  <si>
    <t>Utilizzo</t>
  </si>
  <si>
    <t>y</t>
  </si>
  <si>
    <t>[€/anno]</t>
  </si>
  <si>
    <t>Pellet</t>
  </si>
  <si>
    <t>Sistema di Riscaldamento</t>
  </si>
  <si>
    <t>Gas Metano</t>
  </si>
  <si>
    <t>Caldaia a Gasolio</t>
  </si>
  <si>
    <t>Stufa a Pellet</t>
  </si>
  <si>
    <t>Caldaia a Metano</t>
  </si>
  <si>
    <t>Idrogeno (da Elettrolisi)</t>
  </si>
  <si>
    <t>IPOTESI</t>
  </si>
  <si>
    <t>[tipo]</t>
  </si>
  <si>
    <t>CH4</t>
  </si>
  <si>
    <t>η, COP</t>
  </si>
  <si>
    <t>PdC Aria-H2O</t>
  </si>
  <si>
    <t>PdC Geotermica</t>
  </si>
  <si>
    <t>Metano</t>
  </si>
  <si>
    <t>[€/sm3]</t>
  </si>
  <si>
    <t>[kWh/sm3]</t>
  </si>
  <si>
    <t>[€/Sm3]</t>
  </si>
  <si>
    <t>[€/sacco]</t>
  </si>
  <si>
    <t>Consumo Vettore</t>
  </si>
  <si>
    <t>Idrogeno (da Metano - SMR)</t>
  </si>
  <si>
    <t>Elettricità autoprodotta</t>
  </si>
  <si>
    <t>Elettricità da rete</t>
  </si>
  <si>
    <t>Elc autoprodotta</t>
  </si>
  <si>
    <t>Elc da rete</t>
  </si>
  <si>
    <t>Elc rete</t>
  </si>
  <si>
    <t>METANO</t>
  </si>
  <si>
    <t>[tCO2/anno]</t>
  </si>
  <si>
    <t>Emissioni LCA, considerando sostenibile la biomassa</t>
  </si>
  <si>
    <t>Idrogeno (da elettrolisi con PV)</t>
  </si>
  <si>
    <t>rispetto a TTW</t>
  </si>
  <si>
    <t>Elettricità Mix ITA</t>
  </si>
  <si>
    <t>Elettricità da FV</t>
  </si>
  <si>
    <t>[kg CO₂/kWh]</t>
  </si>
  <si>
    <t>Idrogeno SMR</t>
  </si>
  <si>
    <t>[kg CO₂/kg]</t>
  </si>
  <si>
    <t xml:space="preserve">Diesel </t>
  </si>
  <si>
    <t>GPL</t>
  </si>
  <si>
    <t>[kg CO2/kWh]</t>
  </si>
  <si>
    <t>Elettrico rete</t>
  </si>
  <si>
    <t>Elettrico autoprodotto</t>
  </si>
  <si>
    <t>[kg CO₂/l]</t>
  </si>
  <si>
    <t>Energia primaria richiesta</t>
  </si>
  <si>
    <t>DATI "TARGA"</t>
  </si>
  <si>
    <t>ENERGIA &amp; EMISSIONI ANNO TIPO</t>
  </si>
  <si>
    <t>COSTI</t>
  </si>
  <si>
    <t>Carburante</t>
  </si>
  <si>
    <t>oppure</t>
  </si>
  <si>
    <t>[kgCO2/kgH2]</t>
  </si>
  <si>
    <t>Idrogeno autoprodotto</t>
  </si>
  <si>
    <t>Idrogeno rete</t>
  </si>
  <si>
    <t>Parametro</t>
  </si>
  <si>
    <t>Elettrico Rete</t>
  </si>
  <si>
    <t>Elettrico FV</t>
  </si>
  <si>
    <t>Idrogeno Grigio (SMR)</t>
  </si>
  <si>
    <t>Idrogeno da Rete (Elettrolisi)</t>
  </si>
  <si>
    <t>Idrogeno da FV (Elettrolisi)</t>
  </si>
  <si>
    <t>Ƞ Well-to-Tank (WtT)</t>
  </si>
  <si>
    <t>AUTOBUS URBANO</t>
  </si>
  <si>
    <t>Elettrico da Rete</t>
  </si>
  <si>
    <t>Elettrico Autoprodotto (PV)</t>
  </si>
  <si>
    <t>Idrogeno Grigio</t>
  </si>
  <si>
    <t>RENDIMENTI WtT</t>
  </si>
  <si>
    <t>Well-to-Tank (WtT)</t>
  </si>
  <si>
    <t>Tank-to-Wheel (TtW)</t>
  </si>
  <si>
    <t>Well-to-Wheel (Totale)</t>
  </si>
  <si>
    <t>Note sulla Filiera (WtT)</t>
  </si>
  <si>
    <t>1) Grigio (da Gas Naturale - SMR)</t>
  </si>
  <si>
    <t>~65 - 75%</t>
  </si>
  <si>
    <t>~40 - 50%</t>
  </si>
  <si>
    <t>~29 - 34%</t>
  </si>
  <si>
    <t>"Well" = Gas Naturale. Il rendimento include l'efficienza del processo SMR, la compressione e il trasporto dell'idrogeno.</t>
  </si>
  <si>
    <t>2) Verde (da Elettricità PV autoprodotta)</t>
  </si>
  <si>
    <t>~60 - 65%</t>
  </si>
  <si>
    <t>~24 - 33%</t>
  </si>
  <si>
    <t>"Well" = Elettricità prodotta dal PV. Il rendimento considera l'efficienza dell'elettrolisi e della successiva compressione/trasporto dell'idrogeno.</t>
  </si>
  <si>
    <t>3) Verde (da Rete Elettrica)</t>
  </si>
  <si>
    <t>~25 - 28%</t>
  </si>
  <si>
    <t>~11 - 14%</t>
  </si>
  <si>
    <t>"Well" = Mix di Fonti Primarie della Rete. Il rendimento include l'efficienza media di generazione elettrica (~45%), le perdite di rete, l'elettrolisi e la compressione.</t>
  </si>
  <si>
    <t>AUTOMOBILE</t>
  </si>
  <si>
    <t>Veicolo</t>
  </si>
  <si>
    <t>Note sul Ciclo di Guida e sull'Efficienza</t>
  </si>
  <si>
    <t>1) Camion (Trattore 40t)</t>
  </si>
  <si>
    <t>~38 - 48%</t>
  </si>
  <si>
    <t>Il ciclo di guida è prevalentemente autostradale, a velocità costanti. Questo permette alla fuel cell di operare per lunghi periodi nel suo punto di massima efficienza. Le perdite sono legate alle masse elevate e ai carichi ausiliari (es. sistemi di raffreddamento).</t>
  </si>
  <si>
    <t>2) Autobus Urbano</t>
  </si>
  <si>
    <t>~45 - 55%</t>
  </si>
  <si>
    <t>Il ciclo urbano "stop-and-go" è molto impegnativo, ma questi veicoli sfruttano intensamente la frenata rigenerativa per recuperare energia. Spesso hanno un sistema ibrido con una batteria tampone, che permette alla fuel cell di lavorare a un regime più costante e ottimale, migliorando l'efficienza complessiva.</t>
  </si>
  <si>
    <t>3) Autobus Extraurbano</t>
  </si>
  <si>
    <t>Il ciclo è un misto di percorsi a velocità costante e fermate frequenti, simile a un camion ma con più decelerazioni. Il rendimento è molto buono, posizionandosi tra quello di un camion e quello di un autobus urbano, beneficiando di periodi a regime costante.</t>
  </si>
  <si>
    <t>Auto (per confronto)</t>
  </si>
  <si>
    <t>Il rendimento di un'auto è il nostro punto di riferimento, con un mix variabile di guida urbana ed extraurbana.</t>
  </si>
  <si>
    <t>Ƞ Well-to-Tank (WtT) - Conversione da energia primaria (Well) al Serbatoio (Tank)</t>
  </si>
  <si>
    <t>Tipo di vettore</t>
  </si>
  <si>
    <t>Ƞ Tank to Wheel - Conversione da Serbatoio (Tank) alla ruota (Wheel)</t>
  </si>
  <si>
    <t>Autobus Urbano</t>
  </si>
  <si>
    <t>Elettricità</t>
  </si>
  <si>
    <t>Automobile</t>
  </si>
  <si>
    <t>Camion (40 t)</t>
  </si>
  <si>
    <t>Autobus Extraurbano</t>
  </si>
  <si>
    <t>FC + Engine + Tramsissione</t>
  </si>
  <si>
    <t>PV → Inverter → Rete/Caricabordo → Batteria Auto</t>
  </si>
  <si>
    <t>Mix di Generazione Elettrica Nazionale → Trasmissione → Distribuzione</t>
  </si>
  <si>
    <t>Categoria Veicolo</t>
  </si>
  <si>
    <t>Alimentazione</t>
  </si>
  <si>
    <t>Rendimento TtW (η TtW)</t>
  </si>
  <si>
    <t>Motivo / Contesto</t>
  </si>
  <si>
    <t>~38-42%</t>
  </si>
  <si>
    <t>Motori grandi, funzionamento a regimi ottimali e costanti, turbo avanzati, recupero energia.</t>
  </si>
  <si>
    <t>Alta efficienza del motore elettrico, recupero energia in frenata e discesa.</t>
  </si>
  <si>
    <t>~28-32%</t>
  </si>
  <si>
    <t>Ciclo stop-and-go continuo, motore spesso fuori dai regimi ottimali, consumo accessori (aria condizionata/riscaldamento).</t>
  </si>
  <si>
    <t>~78-82%</t>
  </si>
  <si>
    <t>~35-38%</t>
  </si>
  <si>
    <t>Meno fermate rispetto all'urbano, motore a regimi più costanti. Migliore dell'urbano, peggiore dell'autostrada.</t>
  </si>
  <si>
    <t>~80-84%</t>
  </si>
  <si>
    <t>Frenata rigenerativa meno determinante che in città, ma velocità più costanti favoriscono l'efficienza del motore elettrico.</t>
  </si>
  <si>
    <t>Alta efficienza del motore, frenata rigenerativa molto efficace nel traffico cittadino. Perdite per climatizzazione.</t>
  </si>
  <si>
    <t>Ƞ Well to Wheel - Conversione dal Pozzo (W) alla ruota (Wheel)</t>
  </si>
  <si>
    <t>Idrogeno da Rete</t>
  </si>
  <si>
    <t>Idrogeno Verde Autoprodotto</t>
  </si>
  <si>
    <t>[l/100 km]</t>
  </si>
  <si>
    <t>Ƞ_WtT</t>
  </si>
  <si>
    <t>Ƞ_TtW</t>
  </si>
  <si>
    <t>Ƞ_WtW</t>
  </si>
  <si>
    <t>EMISSIONI CO2</t>
  </si>
  <si>
    <t>Fattori TtW</t>
  </si>
  <si>
    <t>Fattori WtT</t>
  </si>
  <si>
    <t>Well</t>
  </si>
  <si>
    <t>Tank</t>
  </si>
  <si>
    <t>Wheel</t>
  </si>
  <si>
    <t>Costi di Manutenzione per 200.000 km (20 anni x 10.000 km/anno)</t>
  </si>
  <si>
    <t>Ecco una stima realistica per il mercato italiano.</t>
  </si>
  <si>
    <t>Manutenzione Ordinaria (tagliandi, filtri, liquidi)</t>
  </si>
  <si>
    <t>€4.500 - €5.500</t>
  </si>
  <si>
    <t>€5.000 - €6.000</t>
  </si>
  <si>
    <t>€1.500 - €2.500</t>
  </si>
  <si>
    <t>€3.000 - €4.000</t>
  </si>
  <si>
    <t>Freni (pastiglie, dischi)</t>
  </si>
  <si>
    <t>€1.200 - €1.600</t>
  </si>
  <si>
    <t>€400 - €800</t>
  </si>
  <si>
    <t>€600 - €1.000</t>
  </si>
  <si>
    <t>Batteria di Trazione (sostituzione)</t>
  </si>
  <si>
    <t>€0 - €8.000</t>
  </si>
  <si>
    <t>Batteria 12V (sostituzioni)</t>
  </si>
  <si>
    <t>€300 - €500</t>
  </si>
  <si>
    <t>€200 - €400</t>
  </si>
  <si>
    <t>Cella a Combustibile (sostituzione)</t>
  </si>
  <si>
    <t>€20.000 - €30.000+</t>
  </si>
  <si>
    <t>Altri Componenti (frizione, scarico, turbina, ecc.)</t>
  </si>
  <si>
    <t>€2.000 - €4.000</t>
  </si>
  <si>
    <t>€2.500 - €5.000</t>
  </si>
  <si>
    <t>€500 - €1.500</t>
  </si>
  <si>
    <t>€1.000 - €2.000</t>
  </si>
  <si>
    <t>TOTALE STIMATO</t>
  </si>
  <si>
    <t>€8.000 - €11.600</t>
  </si>
  <si>
    <t>€9.000 - €13.100</t>
  </si>
  <si>
    <t>€2.600 - €13.200</t>
  </si>
  <si>
    <t>€24.900 - €37.500+</t>
  </si>
  <si>
    <t>Elettrica (BEV)</t>
  </si>
  <si>
    <t>Energia Utile</t>
  </si>
  <si>
    <t>[kg CO₂/kgH2]</t>
  </si>
  <si>
    <t>Idrogeno (da elettrolisi con Rete IT)</t>
  </si>
  <si>
    <t>Emissioni CO2 - 12.000 km</t>
  </si>
  <si>
    <t>Tipo di Veicolo</t>
  </si>
  <si>
    <t>Emissioni di Produzione (CO₂ eq.)</t>
  </si>
  <si>
    <t>Auto Benzina/Diesel (Media)</t>
  </si>
  <si>
    <t>5.000 - 7.000 kg CO₂</t>
  </si>
  <si>
    <t>Dipende da dimensioni e materiali.</t>
  </si>
  <si>
    <t>Auto Elettrica (BEV) - Senza Batteria</t>
  </si>
  <si>
    <t>~6.000 - 8.000 kg CO₂</t>
  </si>
  <si>
    <t>Leggermente superiore per cavi, motore elettrico e inverter.</t>
  </si>
  <si>
    <t>Batteria per Auto (60 kWh)</t>
  </si>
  <si>
    <t>4.000 - 6.000 kg CO₂</t>
  </si>
  <si>
    <t>Fattore critico. Dipende dalla chimica, dalla dimensione e dall'energia usata per produrla.</t>
  </si>
  <si>
    <t>Auto Elettrica (BEV) - Completa</t>
  </si>
  <si>
    <t>10.000 - 14.000 kg CO₂</t>
  </si>
  <si>
    <t>Somma della vettura + batteria.</t>
  </si>
  <si>
    <t>Auto a Idrogeno (FCEV)</t>
  </si>
  <si>
    <t>12.000 - 16.000 kg CO₂</t>
  </si>
  <si>
    <t>Simile all'elettrico, più le emissioni per la produzione della cella a combustibile e dei serbatoi in carbonio.</t>
  </si>
  <si>
    <t>Camion Diesel (40t)</t>
  </si>
  <si>
    <t>~50.000 - 70.000 kg CO₂</t>
  </si>
  <si>
    <t>Veicolo molto più grande, più acciaio, più materiali.</t>
  </si>
  <si>
    <t>Camion Elettrico (40t)</t>
  </si>
  <si>
    <t>~90.000 - 130.000 kg CO₂</t>
  </si>
  <si>
    <t>Veicolo grande + batteria enorme (500 kWh).</t>
  </si>
  <si>
    <t>Autobus Urbano Diesel</t>
  </si>
  <si>
    <t>~40.000 - 60.000 kg CO₂</t>
  </si>
  <si>
    <t>Autobus Urbano Elettrico</t>
  </si>
  <si>
    <t>~70.000 - 100.000 kg CO₂</t>
  </si>
  <si>
    <t>Batteria grande (300-400 kWh).</t>
  </si>
  <si>
    <t>Emissioni costruzione</t>
  </si>
  <si>
    <t>[kg/CO2]</t>
  </si>
  <si>
    <t>Emissioni totali</t>
  </si>
  <si>
    <t>Emissioni CO2 WtT</t>
  </si>
  <si>
    <t>Emissioni CO2 TtW</t>
  </si>
  <si>
    <t>WtT - [kgCO2/anno]</t>
  </si>
  <si>
    <t>TtW [kgCO2/anno]</t>
  </si>
  <si>
    <t>Autobus Extraurbano Diesel (12m)</t>
  </si>
  <si>
    <t>Scocca grande, motore potente, molti materiali (acciaio, gomma, vetro, plastica).</t>
  </si>
  <si>
    <t>Autobus Extraurbano Elettrico (12m)</t>
  </si>
  <si>
    <t>Autobus Extraurbano a Idrogeno (FCEV)</t>
  </si>
  <si>
    <t>~80.000 - 110.000 kg CO₂</t>
  </si>
  <si>
    <t>Scocca simile al diesel + emissioni della batteria grande (circa 300-400 kWh).</t>
  </si>
  <si>
    <t>Scocca + batteria media + emissioni della cella a combustibile e dei serbatoi in carbonio.</t>
  </si>
  <si>
    <t>~100.000 - 150.000 kg CO₂</t>
  </si>
  <si>
    <t>Veicolo grande + batteria media + cella combustibile grande + serbatoi compositi complessi.</t>
  </si>
  <si>
    <t>drogeno (FCEV)</t>
  </si>
  <si>
    <t>Scocca + batteria + cella combustibile e serbatoi.</t>
  </si>
  <si>
    <t>Emissioni di Produzione (kg CO₂ eq.)</t>
  </si>
  <si>
    <t>[kgCO2/anno]</t>
  </si>
  <si>
    <t>[t CO2]</t>
  </si>
  <si>
    <t>Emissioni totale carburante</t>
  </si>
  <si>
    <t>Idrogeno Verde elettrolisi PV</t>
  </si>
  <si>
    <t>Idrogeno elettrolisi rete</t>
  </si>
  <si>
    <t>OPEx fuel</t>
  </si>
  <si>
    <t>OPEx Maintenance</t>
  </si>
  <si>
    <t>IPOTESI:</t>
  </si>
  <si>
    <t>Parametri uniformi (C15, C16, C17) per mezzo a prescindere dal vettore energetico per rendere paragonabile il confronto</t>
  </si>
  <si>
    <t>Vita Utile [km]</t>
  </si>
  <si>
    <t>Vita Utile [anni]</t>
  </si>
  <si>
    <t>Percorso Medio [km/anno]</t>
  </si>
  <si>
    <t>Note &amp; Motivazioni</t>
  </si>
  <si>
    <t>Camion (Trattore Stradale 40t)</t>
  </si>
  <si>
    <t>1.200.000 - 1.600.000 km</t>
  </si>
  <si>
    <t>5 - 8 anni</t>
  </si>
  <si>
    <t>150.000 - 250.000 km</t>
  </si>
  <si>
    <t>Vita utile limitata dall'usura del motore termico e della trasmissione dopo milioni di cicli.</t>
  </si>
  <si>
    <t>1.000.000 - 1.500.000 km</t>
  </si>
  <si>
    <t>7 - 10 anni</t>
  </si>
  <si>
    <t>120.000 - 200.000 km</t>
  </si>
  <si>
    <t>Vita utile limitata principalmente dal degrado della batteria. Il powertrain elettrico è più longevo.</t>
  </si>
  <si>
    <t>~800.000 - 1.200.000 km</t>
  </si>
  <si>
    <t>Vita utile limitata dalla durata della cella a combustibile (degradazione degli stack).</t>
  </si>
  <si>
    <t>800.000 - 1.200.000 km</t>
  </si>
  <si>
    <t>12 - 15 anni</t>
  </si>
  <si>
    <t>60.000 - 80.000 km</t>
  </si>
  <si>
    <t>Usura da continui stop&amp;go. La carrozzeria e il telaio si usurano prima del motore.</t>
  </si>
  <si>
    <t>12 - 15+ anni</t>
  </si>
  <si>
    <t>Ideale per lo stop&amp;go (frenata rigenerativa). La batteria si degrada, ma la vita della carrozzeria è il limite.</t>
  </si>
  <si>
    <t>~600.000 - 1.000.000 km</t>
  </si>
  <si>
    <t>10 - 14 anni</t>
  </si>
  <si>
    <t>Anche qui, la cella a combustibile è il componente critico che ne determina la vita.</t>
  </si>
  <si>
    <t>12 - 18 anni</t>
  </si>
  <si>
    <t>70.000 - 100.000 km</t>
  </si>
  <si>
    <t>Usura minore dell'urbano grazie a guida più fluida. Motori diesel longevi.</t>
  </si>
  <si>
    <t>~1.000.000 - 1.500.000 km</t>
  </si>
  <si>
    <t>12 - 18+ anni</t>
  </si>
  <si>
    <t>Ottimo per viaggi a velocità costante. Batteria soggetta a meno cicli di ricarica profondi rispetto all'urbano.</t>
  </si>
  <si>
    <t>12 - 16 anni</t>
  </si>
  <si>
    <t>Scenario simile all'urbano, ma con sollecitazioni leggermente minori sulla cella.</t>
  </si>
  <si>
    <t>LIFETIME</t>
  </si>
  <si>
    <t>250.000 - 350.000 km</t>
  </si>
  <si>
    <t>12.000 - 18.000 km</t>
  </si>
  <si>
    <t>Usura generale del motore e della trasmissione. Diventa antieconomica da riparare.</t>
  </si>
  <si>
    <t>300.000 - 450.000 km</t>
  </si>
  <si>
    <t>15.000 - 22.000 km</t>
  </si>
  <si>
    <t>Motore più longevo e robusto. Fattore limitante sono spesso i sistemi antinquinamento (FAP, SCR).</t>
  </si>
  <si>
    <t>400.000 - 600.000+ km</t>
  </si>
  <si>
    <t>15 - 20+ anni</t>
  </si>
  <si>
    <t>15.000 - 20.000 km</t>
  </si>
  <si>
    <t>Il degrado della batteria è il limite principale. Il powertrain elettrico è molto longevo. La durata è una stima in rapida evoluzione.</t>
  </si>
  <si>
    <t>~300.000 - 400.000 km</t>
  </si>
  <si>
    <t>Vita utile limitata dalla durata della cella a combustibile (obiettivo: 5.000-8.000 ore di funzionamento).</t>
  </si>
  <si>
    <t>[y]</t>
  </si>
  <si>
    <t>[km/anno]</t>
  </si>
  <si>
    <t>Percorso Medio</t>
  </si>
  <si>
    <t>Media vita</t>
  </si>
  <si>
    <t>Media Tempo</t>
  </si>
  <si>
    <t>Media percorso</t>
  </si>
  <si>
    <t>Dati Originali (29/10/2025)</t>
  </si>
  <si>
    <t>[km/y]</t>
  </si>
  <si>
    <t>Parametri uniformi (C14, C15, C16) per mezzo a prescindere dal vettore energetico per rendere paragonabile il confronto</t>
  </si>
  <si>
    <t>ENERGIA CONTENUTA</t>
  </si>
  <si>
    <t>Costo Manutenzione [€/km]</t>
  </si>
  <si>
    <t>Note Principali &amp; Voci di Costo</t>
  </si>
  <si>
    <t>Camion (40t)</t>
  </si>
  <si>
    <t>Tagliandi, filtri, ricambi usura (frizione, freni), eventuali interventi su motore, turbocompressore, iniezione, trasmissione.</t>
  </si>
  <si>
    <t>Usura elevatissima per stop-and-go continuo (freni, frizione, trasmissione). Motore spesso a regimi bassi.</t>
  </si>
  <si>
    <t>Usura freni simile al diesel (poca rigenerazione). Costi di manutenzione della cella e dell'impianto idrogeno.</t>
  </si>
  <si>
    <t>Usura minore dell'urbano (guida più fluida). Manutenzione focale su motore e trasmissione per lunghi viaggi.</t>
  </si>
  <si>
    <t>Usura molto bassa. Cicli di ricarica meno stressanti per la batteria rispetto all'urbano.</t>
  </si>
  <si>
    <t>Simile al camion. Le celle a combustibile per questo servizio sono più grandi e costose.</t>
  </si>
  <si>
    <t>Tagliandi semplificati (liquidi, filtri aria, freni). Costo BATTERIA di riserva (sostituzione dopo ~1M km). Freni durano 2-3x.</t>
  </si>
  <si>
    <t>Manutenzione sistema elettrico + rischio SOSTITUZIONE CELLA COMBUSTIBILE. Manutenzione serbatoi H₂ ad alta pressione.</t>
  </si>
  <si>
    <t>Vantaggio massimo per la frenata rigenerativa (freni durano moltissimo). Manutenzione motore quasi nulla. Costo batteria incluso.</t>
  </si>
  <si>
    <t>COSTI DI MANUTENZIONE</t>
  </si>
  <si>
    <t>Costo Manutenzione (€/km)</t>
  </si>
  <si>
    <t>Costo Totale in Vita Utile</t>
  </si>
  <si>
    <t>0,32 €/km</t>
  </si>
  <si>
    <t>0,16 €/km</t>
  </si>
  <si>
    <t>0,27 €/km</t>
  </si>
  <si>
    <t>Tagliandi, filtri, candele, distribuzione (se a cinghia), freni, scarico. Manutenzione ordinaria più frequente.</t>
  </si>
  <si>
    <t>Tagliandi meno frequenti ma più costosi. Filtro gasolio, additivo AdBlue. Rischio costi elevati per FAP/SCR e iniezione.</t>
  </si>
  <si>
    <t>Tagliandi minimi (controlli liquidi, freni, filtri abitacolo). Nessun costo per olio motore, candele, distribuzione, scarico. Freni durano il doppio.</t>
  </si>
  <si>
    <t>Manutenzione sistema elettrico simile al BEV + controlli specialistici impianto H₂ e cella combustibile. Il rischio è la sostituzione della cella.</t>
  </si>
  <si>
    <t>0,06 - 0,10</t>
  </si>
  <si>
    <t>0,05 - 0,08</t>
  </si>
  <si>
    <t>0,02 - 0,04</t>
  </si>
  <si>
    <t xml:space="preserve">0,04 - 0,07 </t>
  </si>
  <si>
    <t>0,20 - 0,30</t>
  </si>
  <si>
    <t>0,10 - 0,18</t>
  </si>
  <si>
    <t>0,15 - 0,25</t>
  </si>
  <si>
    <t>0,25 - 0,40</t>
  </si>
  <si>
    <t xml:space="preserve">0,12 - 0,20 </t>
  </si>
  <si>
    <t>0,20 - 0,35</t>
  </si>
  <si>
    <t>0,18 - 0,28</t>
  </si>
  <si>
    <t>0,10 - 0,17</t>
  </si>
  <si>
    <t>0,16 - 0,28</t>
  </si>
  <si>
    <t>USATO DATI AL KM</t>
  </si>
  <si>
    <t>Emissioni CO2 - 170.000 km</t>
  </si>
  <si>
    <t>Emissioni Totali</t>
  </si>
  <si>
    <t>Costo totale</t>
  </si>
  <si>
    <t>AutoBUS Urbano</t>
  </si>
  <si>
    <t>AutoBUS Extraurbano</t>
  </si>
  <si>
    <t>Tecnologia</t>
  </si>
  <si>
    <t>Capacità Serbatoio/Batteria</t>
  </si>
  <si>
    <t>Consumo Specifico Km</t>
  </si>
  <si>
    <t>400-600 litri</t>
  </si>
  <si>
    <t>~0.28-0.29 L/km</t>
  </si>
  <si>
    <t>ICBus RE Series Diesel</t>
  </si>
  <si>
    <t>Serbatoio fino a ~600 litri</t>
  </si>
  <si>
    <t>0.25-0.30 L/km (stimato)</t>
  </si>
  <si>
    <t>Cummins L9, commercial bus U.S.</t>
  </si>
  <si>
    <t>Mercedes-Benz O530 Diesel</t>
  </si>
  <si>
    <t>~250-400 litri</t>
  </si>
  <si>
    <t>0.28-0.30 L/km</t>
  </si>
  <si>
    <t>Bus urbano/extraurbano, Euro VI</t>
  </si>
  <si>
    <t>Yutong T12E</t>
  </si>
  <si>
    <t>Batteria 400-480 kWh</t>
  </si>
  <si>
    <t>1.0-1.3 kWh/km (stimato)</t>
  </si>
  <si>
    <t>Full electric coach extraurbano, autonomia 500+ km</t>
  </si>
  <si>
    <t>200-350 kWh batteria</t>
  </si>
  <si>
    <t>0.9-1.5 kWh/km</t>
  </si>
  <si>
    <t>Bus elettrico extraurbano</t>
  </si>
  <si>
    <t>Solaris Urbino Electric 12 m</t>
  </si>
  <si>
    <t>210-350 kWh batteria</t>
  </si>
  <si>
    <t>1.0-1.3 kWh/km</t>
  </si>
  <si>
    <t>Bus elettrico per trasporto extraurbano e urbano</t>
  </si>
  <si>
    <t>30-40 kg serbatoio H2 a 350 bar</t>
  </si>
  <si>
    <t>0.06-0.07 kg H2/km</t>
  </si>
  <si>
    <t>Fuel cell, bus urbano</t>
  </si>
  <si>
    <t>NesoBus (Polonia)</t>
  </si>
  <si>
    <t>37.5 kg serbatoio H2</t>
  </si>
  <si>
    <t>0.055-0.08 kg H2/km</t>
  </si>
  <si>
    <t>Bus extraurbano, range 450 km, rifornimento 15 min</t>
  </si>
  <si>
    <t>New Flyer Xcelsior CHARGE FC</t>
  </si>
  <si>
    <t>Serbatoio tipo 4, capacità alta</t>
  </si>
  <si>
    <t>0.06-0.07 kg H2/km (stimato)</t>
  </si>
  <si>
    <t>Fuel cell bus americano</t>
  </si>
  <si>
    <t>Diesel﻿</t>
  </si>
  <si>
    <t>Elettrico﻿</t>
  </si>
  <si>
    <t>Idrogeno﻿</t>
  </si>
  <si>
    <t>AUTOBUS EXTRAURBANO</t>
  </si>
  <si>
    <t>Costo Indicativo (€)</t>
  </si>
  <si>
    <t>Iveco Crossway Diesel 12 m</t>
  </si>
  <si>
    <t>200.000 - 275.000 €</t>
  </si>
  <si>
    <t>Motore Cursor 9, bus extraurbano, Euro VI ​</t>
  </si>
  <si>
    <t>210.000 - 250.000 € (stima)</t>
  </si>
  <si>
    <t>200.000 - 230.000 € (stima)</t>
  </si>
  <si>
    <t>450.000 - 550.000 € (stima)</t>
  </si>
  <si>
    <t>400.000 - 500.000 € (stima)</t>
  </si>
  <si>
    <t>350.000 - 450.000 € (stima)</t>
  </si>
  <si>
    <t>650.000 - 700.000 € (stima)</t>
  </si>
  <si>
    <t>600.000 - 700.000 € (stima)</t>
  </si>
  <si>
    <t>650.000 - 750.000 € (stima)</t>
  </si>
  <si>
    <t>COP PdC</t>
  </si>
  <si>
    <t>Riscaldamento Elettrico (Effetto Joule)</t>
  </si>
  <si>
    <t>H2 grigio</t>
  </si>
  <si>
    <t>H2 elettrolisi rete</t>
  </si>
  <si>
    <t>H2 verde</t>
  </si>
  <si>
    <t>Idrogeno Elettrolisi rete</t>
  </si>
  <si>
    <t>Rendimento</t>
  </si>
  <si>
    <t>WTT</t>
  </si>
  <si>
    <t>TTW</t>
  </si>
  <si>
    <t>Emissioni [kgCO2eq/kWh]</t>
  </si>
  <si>
    <t>Caldaia a gasolio</t>
  </si>
  <si>
    <t>Caldaia a Pellet</t>
  </si>
  <si>
    <t>Caldaia a gas</t>
  </si>
  <si>
    <t>WTW</t>
  </si>
  <si>
    <t>[kWh_th]</t>
  </si>
  <si>
    <t>Tecnologia di Riscaldamento</t>
  </si>
  <si>
    <t>Stima Emissioni di Produzione (kg CO₂eq)</t>
  </si>
  <si>
    <t>Note e Motivazioni</t>
  </si>
  <si>
    <t>~ 150 - 300 kg</t>
  </si>
  <si>
    <t>Sistema molto semplice: corpo resistente, custodia in metallo, pochi componenti. Emissioni basse.</t>
  </si>
  <si>
    <t>~ 500 - 800 kg</t>
  </si>
  <si>
    <t>Maggiori componenti meccanici (coclea, ventole), sistema di controllo, refrattario. Richiede più acciaio e lavorazione.</t>
  </si>
  <si>
    <t>Caldaia a Metano a Condensazione</t>
  </si>
  <si>
    <t>~ 700 - 1.200 kg</t>
  </si>
  <si>
    <t>Sistema complesso: scambiatore di calore in lega (spesso alluminio/acciaio), bruciatore, ventola, valvole, elettronica di controllo. La produzione dello scambiatore è energivora.</t>
  </si>
  <si>
    <t>~ 900 - 1.500 kg</t>
  </si>
  <si>
    <t>Simile alla caldaia a metano, ma con componenti aggiuntivi per la gestione del gasolio (pompa, ugello, serbatoio più complesso). Leggermente più impattante.</t>
  </si>
  <si>
    <t>Pompa di Calore Aria-Acqua</t>
  </si>
  <si>
    <t>~ 1.000 - 1.800 kg</t>
  </si>
  <si>
    <t>Alta complessità: compressore, due scambiatori di calore (evaporatore e condensatore), valvole, elettronica avanzata, refrigerante (che ha un alto potenziale di riscaldamento globale se disperso).</t>
  </si>
  <si>
    <t>Pompa di Calore Geotermica</t>
  </si>
  <si>
    <t>~ 1.500 - 2.500 kg</t>
  </si>
  <si>
    <t>Caldaia a Idrogeno</t>
  </si>
  <si>
    <t>Simile a una caldaia a metano di alta gamma. Tecnologia attuale con componenti specifici per l'H2. L'impatto è paragonabile a una caldaia a gasolio.</t>
  </si>
  <si>
    <t>Include le emissioni della macchina stessa (simile alla PdC aria-acqua) più le emissioni molto elevate per l'installazione del circuito di terra (scavo, trivellazione, materiali per le sonde).</t>
  </si>
  <si>
    <t>CALDAIE</t>
  </si>
  <si>
    <t>Taglia</t>
  </si>
  <si>
    <r>
      <t>η_</t>
    </r>
    <r>
      <rPr>
        <b/>
        <vertAlign val="subscript"/>
        <sz val="11"/>
        <color theme="1"/>
        <rFont val="Calibri"/>
        <family val="2"/>
      </rPr>
      <t>processo</t>
    </r>
  </si>
  <si>
    <t>Taglia Indicativa (kW)</t>
  </si>
  <si>
    <t>CAPEx (Investimento Iniziale)</t>
  </si>
  <si>
    <t>OPEx Annuo (Manutenzione)</t>
  </si>
  <si>
    <t>6 - 9 kW</t>
  </si>
  <si>
    <t>€ 500 - € 1.500</t>
  </si>
  <si>
    <t>€ 10 - € 50</t>
  </si>
  <si>
    <t>8 - 12 kW</t>
  </si>
  <si>
    <t>€ 2.000 - € 4.000</t>
  </si>
  <si>
    <t>€ 200 - € 400</t>
  </si>
  <si>
    <t>24 - 30 kW</t>
  </si>
  <si>
    <t>€ 2.000 - € 3.500</t>
  </si>
  <si>
    <t>€ 150 - € 250</t>
  </si>
  <si>
    <t>20 - 26 kW</t>
  </si>
  <si>
    <t>€ 2.500 - € 4.500</t>
  </si>
  <si>
    <t>€ 200 - € 350</t>
  </si>
  <si>
    <t>6 - 9 kW (termici)</t>
  </si>
  <si>
    <t>€ 8.000 - € 15.000</t>
  </si>
  <si>
    <t>€ 100 - € 200</t>
  </si>
  <si>
    <t>5 - 8 kW (termici)</t>
  </si>
  <si>
    <t>€ 18.000 - € 30.000+</t>
  </si>
  <si>
    <t>Caldaia a Idrogeno (pura)</t>
  </si>
  <si>
    <t>N/A (Sperimentale)</t>
  </si>
  <si>
    <t>N/A - Prezzo Proibitivo</t>
  </si>
  <si>
    <t>[kgCO2_eq]</t>
  </si>
  <si>
    <t>[kg_CO2]</t>
  </si>
  <si>
    <t>Emissioni totali LCA</t>
  </si>
  <si>
    <t>Emissioni totali annue</t>
  </si>
  <si>
    <t>[t_CO2/y]</t>
  </si>
  <si>
    <t>Emissioni WTT</t>
  </si>
  <si>
    <t>Emissioni TTW</t>
  </si>
  <si>
    <t>Emissioni WTW</t>
  </si>
  <si>
    <t>Variabili indipendenti / modificabili</t>
  </si>
  <si>
    <t>dati originali (30/10/2025)</t>
  </si>
  <si>
    <t>WtW - [kgCO2/anno]</t>
  </si>
  <si>
    <t>η_WtW</t>
  </si>
  <si>
    <t>PARAMETRI</t>
  </si>
  <si>
    <t>"Costo" energetico</t>
  </si>
  <si>
    <t>Emissioni (in pila)</t>
  </si>
  <si>
    <t>Costi (in pila)</t>
  </si>
  <si>
    <t>CALORE</t>
  </si>
  <si>
    <t>"Costo" energetico approvvigionamento fuel [kWh]</t>
  </si>
  <si>
    <t>Interfaccia Grafica</t>
  </si>
  <si>
    <t>Scenari per categoria</t>
  </si>
  <si>
    <t>1 excel per categoria</t>
  </si>
  <si>
    <t>Produrre un excel protetto con dashboard (con parametri modificabili) +assunzioni+grafici identificati</t>
  </si>
  <si>
    <t>[m2]</t>
  </si>
  <si>
    <t>[W/m2]</t>
  </si>
  <si>
    <t>IMPIANTO</t>
  </si>
  <si>
    <t>A terra</t>
  </si>
  <si>
    <t>Normale</t>
  </si>
  <si>
    <t>Inseguimento</t>
  </si>
  <si>
    <t>Sul tetto</t>
  </si>
  <si>
    <t>a falda</t>
  </si>
  <si>
    <t>piano</t>
  </si>
  <si>
    <t>Dimensione pannello</t>
  </si>
  <si>
    <t>[W]</t>
  </si>
  <si>
    <t>Perdite</t>
  </si>
  <si>
    <t>[kW/ha]</t>
  </si>
  <si>
    <t>[h_eq]</t>
  </si>
  <si>
    <t>PRODUZIONE ANNUA</t>
  </si>
  <si>
    <t>[t_H2]</t>
  </si>
  <si>
    <t>Sufficiente per:</t>
  </si>
  <si>
    <t>macchine / anno</t>
  </si>
  <si>
    <t>che sarebbero</t>
  </si>
  <si>
    <t>fossero elettriche</t>
  </si>
  <si>
    <t>camion / anno</t>
  </si>
  <si>
    <t>autobus urbani / anno</t>
  </si>
  <si>
    <t>autobus extraurbani / anno</t>
  </si>
  <si>
    <t>fossero elettrici</t>
  </si>
  <si>
    <t>Emissioni CO2</t>
  </si>
  <si>
    <t>H2</t>
  </si>
  <si>
    <t>Elc</t>
  </si>
  <si>
    <t>Di quanto idrogeno ho bisogno per sostituire i consumi rispetto allo stesso veicolo elettrico per un anno tipo?</t>
  </si>
  <si>
    <t>HP</t>
  </si>
  <si>
    <t>E quanto fotovoltaico mi serve per fare le stesse cose con una soluzione elettrica? E le emissioni?</t>
  </si>
  <si>
    <t>Energia primaria [elettrica]</t>
  </si>
  <si>
    <t>Superficie necessaria</t>
  </si>
  <si>
    <t>[kWh/m2]</t>
  </si>
  <si>
    <t>si considera contemporaneità tra produzuio</t>
  </si>
  <si>
    <t>San vito 2011</t>
  </si>
  <si>
    <t>GWh</t>
  </si>
  <si>
    <t>energia elettrica totale</t>
  </si>
  <si>
    <t>km2</t>
  </si>
  <si>
    <t>Rapporto</t>
  </si>
  <si>
    <t>PdC</t>
  </si>
  <si>
    <t>Caldaia a H2</t>
  </si>
  <si>
    <t>Fabbisogno Riscaldamento annuo</t>
  </si>
  <si>
    <t>[kWh/y]</t>
  </si>
  <si>
    <t>[kWh-kg]</t>
  </si>
  <si>
    <t>Consumo vettore</t>
  </si>
  <si>
    <t>Fabbisogno di idrogeno</t>
  </si>
  <si>
    <t>tonnes</t>
  </si>
  <si>
    <t>CF electrolyzer</t>
  </si>
  <si>
    <t>[MWh]</t>
  </si>
  <si>
    <t>Fabbisogno elettrico annuo</t>
  </si>
  <si>
    <t>[ha]</t>
  </si>
  <si>
    <t>Riscaldamento Elettrico rete (Effetto Joule)</t>
  </si>
  <si>
    <t>Riscaldamento Elettrico auto (Effetto Joule)</t>
  </si>
  <si>
    <t>PdC rete</t>
  </si>
  <si>
    <t>PdC autoprodotta</t>
  </si>
  <si>
    <t>PdC Geotermica rete</t>
  </si>
  <si>
    <t>PdC Geotermica autoprodotta</t>
  </si>
  <si>
    <t>Caldaia a idrogeno girgio</t>
  </si>
  <si>
    <t>Caldaia a idrogeno verde rete</t>
  </si>
  <si>
    <t>Caldaia a idrogeno verde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</si>
</sst>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164" formatCode="0.000"/>
    <numFmt numFmtId="165" formatCode="[$€-2]\ #,##0;[Red]\-[$€-2]\ #,##0"/>
    <numFmt numFmtId="166" formatCode="0.0"/>
    <numFmt numFmtId="167" formatCode="[$€-2]\ #,##0.00;[Red]\-[$€-2]\ #,##0.00"/>
    <numFmt numFmtId="168" formatCode="0.0000"/>
    <numFmt numFmtId="169" formatCode="0.0%"/>
    <numFmt numFmtId="170" formatCode="#,##0.00\ &quot;€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CF8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7" fillId="0" borderId="0" xfId="0" applyFont="1"/>
    <xf numFmtId="9" fontId="0" fillId="0" borderId="0" xfId="0" applyNumberFormat="1"/>
    <xf numFmtId="9" fontId="0" fillId="0" borderId="0" xfId="1" applyFont="1"/>
    <xf numFmtId="0" fontId="0" fillId="3" borderId="0" xfId="0" applyFill="1"/>
    <xf numFmtId="0" fontId="0" fillId="0" borderId="0" xfId="0" applyAlignment="1">
      <alignment vertical="center"/>
    </xf>
    <xf numFmtId="1" fontId="0" fillId="0" borderId="0" xfId="0" applyNumberFormat="1"/>
    <xf numFmtId="3" fontId="0" fillId="0" borderId="0" xfId="0" applyNumberFormat="1"/>
    <xf numFmtId="0" fontId="0" fillId="0" borderId="0" xfId="0" quotePrefix="1"/>
    <xf numFmtId="167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1" applyFont="1" applyFill="1"/>
    <xf numFmtId="0" fontId="0" fillId="0" borderId="0" xfId="1" applyNumberFormat="1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right"/>
    </xf>
    <xf numFmtId="2" fontId="0" fillId="0" borderId="0" xfId="1" applyNumberFormat="1" applyFont="1"/>
    <xf numFmtId="2" fontId="0" fillId="0" borderId="0" xfId="1" applyNumberFormat="1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9" fontId="3" fillId="0" borderId="0" xfId="0" applyNumberFormat="1" applyFont="1"/>
    <xf numFmtId="10" fontId="0" fillId="0" borderId="0" xfId="0" applyNumberFormat="1"/>
    <xf numFmtId="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/>
    <xf numFmtId="0" fontId="16" fillId="0" borderId="0" xfId="0" applyFont="1"/>
    <xf numFmtId="0" fontId="0" fillId="4" borderId="0" xfId="0" applyFill="1"/>
    <xf numFmtId="16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6" fontId="0" fillId="0" borderId="0" xfId="0" applyNumberFormat="1"/>
    <xf numFmtId="169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7" fontId="0" fillId="5" borderId="0" xfId="0" applyNumberFormat="1" applyFill="1"/>
    <xf numFmtId="0" fontId="13" fillId="0" borderId="0" xfId="0" applyFont="1"/>
    <xf numFmtId="0" fontId="18" fillId="0" borderId="0" xfId="0" applyFont="1"/>
    <xf numFmtId="0" fontId="1" fillId="0" borderId="0" xfId="0" applyFont="1" applyAlignment="1">
      <alignment vertical="center"/>
    </xf>
    <xf numFmtId="164" fontId="0" fillId="2" borderId="0" xfId="0" applyNumberFormat="1" applyFill="1"/>
    <xf numFmtId="0" fontId="3" fillId="6" borderId="0" xfId="0" applyFont="1" applyFill="1"/>
    <xf numFmtId="0" fontId="0" fillId="6" borderId="0" xfId="0" applyFill="1"/>
    <xf numFmtId="170" fontId="0" fillId="6" borderId="0" xfId="0" applyNumberForma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E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22" fmlaLink="$D$17" horiz="1" inc="5" max="1000" min="10" page="50" val="150"/>
</file>

<file path=xl/ctrlProps/ctrlProp2.xml><?xml version="1.0" encoding="utf-8"?>
<formControlPr xmlns="http://schemas.microsoft.com/office/spreadsheetml/2009/9/main" objectType="Scroll" dx="22" fmlaLink="$C$16" horiz="1" max="30" min="5" page="5" val="20"/>
</file>

<file path=xl/ctrlProps/ctrlProp3.xml><?xml version="1.0" encoding="utf-8"?>
<formControlPr xmlns="http://schemas.microsoft.com/office/spreadsheetml/2009/9/main" objectType="Scroll" dx="22" fmlaLink="$D$16" horiz="1" inc="5" max="1000" min="10" page="50" val="1000"/>
</file>

<file path=xl/ctrlProps/ctrlProp4.xml><?xml version="1.0" encoding="utf-8"?>
<formControlPr xmlns="http://schemas.microsoft.com/office/spreadsheetml/2009/9/main" objectType="Scroll" dx="22" fmlaLink="$C$15" horiz="1" max="30" min="5" page="5" val="7"/>
</file>

<file path=xl/ctrlProps/ctrlProp5.xml><?xml version="1.0" encoding="utf-8"?>
<formControlPr xmlns="http://schemas.microsoft.com/office/spreadsheetml/2009/9/main" objectType="Scroll" dx="22" fmlaLink="$D$16" horiz="1" inc="10" max="4000" min="10" page="100" val="1700"/>
</file>

<file path=xl/ctrlProps/ctrlProp6.xml><?xml version="1.0" encoding="utf-8"?>
<formControlPr xmlns="http://schemas.microsoft.com/office/spreadsheetml/2009/9/main" objectType="Scroll" dx="22" fmlaLink="$C$15" horiz="1" max="30" min="5" page="5" val="7"/>
</file>

<file path=xl/ctrlProps/ctrlProp7.xml><?xml version="1.0" encoding="utf-8"?>
<formControlPr xmlns="http://schemas.microsoft.com/office/spreadsheetml/2009/9/main" objectType="Scroll" dx="22" fmlaLink="$D$16" horiz="1" inc="5" max="1000" min="10" page="50" val="700"/>
</file>

<file path=xl/ctrlProps/ctrlProp8.xml><?xml version="1.0" encoding="utf-8"?>
<formControlPr xmlns="http://schemas.microsoft.com/office/spreadsheetml/2009/9/main" objectType="Scroll" dx="22" fmlaLink="$C$15" horiz="1" max="30" min="5" page="5" val="13"/>
</file>

<file path=xl/ctrlProps/ctrlProp9.xml><?xml version="1.0" encoding="utf-8"?>
<formControlPr xmlns="http://schemas.microsoft.com/office/spreadsheetml/2009/9/main" objectType="Scroll" dx="22" fmlaLink="$D$16" horiz="1" inc="5" max="1000" min="10" page="50" val="700"/>
</file>

<file path=xl/ctrlProps/ctrlProp10.xml><?xml version="1.0" encoding="utf-8"?>
<formControlPr xmlns="http://schemas.microsoft.com/office/spreadsheetml/2009/9/main" objectType="Scroll" dx="22" fmlaLink="$C$16" horiz="1" max="30" min="5" page="5" val="30"/>
</file>

<file path=xl/ctrlProps/ctrlProp11.xml><?xml version="1.0" encoding="utf-8"?>
<formControlPr xmlns="http://schemas.microsoft.com/office/spreadsheetml/2009/9/main" objectType="Scroll" dx="22" fmlaLink="$D$16" horiz="1" inc="5" max="1000" min="10" page="50" val="700"/>
</file>

<file path=xl/ctrlProps/ctrlProp12.xml><?xml version="1.0" encoding="utf-8"?>
<formControlPr xmlns="http://schemas.microsoft.com/office/spreadsheetml/2009/9/main" objectType="Scroll" dx="22" fmlaLink="$C$15" horiz="1" max="30" min="5" page="5" val="13"/>
</file>

<file path=xl/ctrlProps/ctrlProp13.xml><?xml version="1.0" encoding="utf-8"?>
<formControlPr xmlns="http://schemas.microsoft.com/office/spreadsheetml/2009/9/main" objectType="Scroll" dx="22" fmlaLink="$D$16" horiz="1" inc="5" max="1000" min="10" page="50" val="700"/>
</file>

<file path=xl/ctrlProps/ctrlProp14.xml><?xml version="1.0" encoding="utf-8"?>
<formControlPr xmlns="http://schemas.microsoft.com/office/spreadsheetml/2009/9/main" objectType="Scroll" dx="22" fmlaLink="$D$15" horiz="1" max="30" min="5" page="5" val="13"/>
</file>

<file path=xl/ctrlProps/ctrlProp15.xml><?xml version="1.0" encoding="utf-8"?>
<formControlPr xmlns="http://schemas.microsoft.com/office/spreadsheetml/2009/9/main" objectType="Scroll" dx="22" fmlaLink="$D$16" horiz="1" inc="5" max="1000" min="10" page="50" val="750"/>
</file>

<file path=xl/ctrlProps/ctrlProp16.xml><?xml version="1.0" encoding="utf-8"?>
<formControlPr xmlns="http://schemas.microsoft.com/office/spreadsheetml/2009/9/main" objectType="Scroll" dx="22" fmlaLink="$C$15" horiz="1" max="30" min="5" page="5" val="15"/>
</file>

<file path=xl/ctrlProps/ctrlProp17.xml><?xml version="1.0" encoding="utf-8"?>
<formControlPr xmlns="http://schemas.microsoft.com/office/spreadsheetml/2009/9/main" objectType="Scroll" dx="22" fmlaLink="$D$16" horiz="1" inc="5" max="1000" min="10" page="50" val="750"/>
</file>

<file path=xl/ctrlProps/ctrlProp18.xml><?xml version="1.0" encoding="utf-8"?>
<formControlPr xmlns="http://schemas.microsoft.com/office/spreadsheetml/2009/9/main" objectType="Scroll" dx="22" fmlaLink="$C$16" horiz="1" max="30" min="5" page="5" val="30"/>
</file>

<file path=xl/ctrlProps/ctrlProp19.xml><?xml version="1.0" encoding="utf-8"?>
<formControlPr xmlns="http://schemas.microsoft.com/office/spreadsheetml/2009/9/main" objectType="Scroll" dx="22" fmlaLink="$D$16" horiz="1" inc="5" max="1000" min="10" page="50" val="750"/>
</file>

<file path=xl/ctrlProps/ctrlProp20.xml><?xml version="1.0" encoding="utf-8"?>
<formControlPr xmlns="http://schemas.microsoft.com/office/spreadsheetml/2009/9/main" objectType="Scroll" dx="22" fmlaLink="$C$15" horiz="1" max="30" min="5" page="5" val="15"/>
</file>

<file path=xl/ctrlProps/ctrlProp21.xml><?xml version="1.0" encoding="utf-8"?>
<formControlPr xmlns="http://schemas.microsoft.com/office/spreadsheetml/2009/9/main" objectType="Scroll" dx="22" fmlaLink="$D$16" horiz="1" inc="5" max="1000" min="10" page="50" val="750"/>
</file>

<file path=xl/ctrlProps/ctrlProp22.xml><?xml version="1.0" encoding="utf-8"?>
<formControlPr xmlns="http://schemas.microsoft.com/office/spreadsheetml/2009/9/main" objectType="Scroll" dx="22" fmlaLink="$D$15" horiz="1" max="30" min="5" page="5" val="15"/>
</file>

<file path=xl/ctrlProps/ctrlProp23.xml><?xml version="1.0" encoding="utf-8"?>
<formControlPr xmlns="http://schemas.microsoft.com/office/spreadsheetml/2009/9/main" objectType="Scroll" dx="22" fmlaLink="$D$28" horiz="1" max="100" min="10" page="10" val="30"/>
</file>

<file path=xl/ctrlProps/ctrlProp24.xml><?xml version="1.0" encoding="utf-8"?>
<formControlPr xmlns="http://schemas.microsoft.com/office/spreadsheetml/2009/9/main" objectType="Scroll" dx="22" fmlaLink="$D$29" horiz="1" max="100" min="10" page="10" val="45"/>
</file>

<file path=xl/ctrlProps/ctrlProp25.xml><?xml version="1.0" encoding="utf-8"?>
<formControlPr xmlns="http://schemas.microsoft.com/office/spreadsheetml/2009/9/main" objectType="Scroll" dx="22" fmlaLink="$K$18" horiz="1" max="100" min="1" page="10" val="10"/>
</file>

<file path=xl/ctrlProps/ctrlProp26.xml><?xml version="1.0" encoding="utf-8"?>
<formControlPr xmlns="http://schemas.microsoft.com/office/spreadsheetml/2009/9/main" objectType="Scroll" dx="22" fmlaLink="$J$19" horiz="1" max="50" min="1" page="5" val="20"/>
</file>

<file path=xl/ctrlProps/ctrlProp27.xml><?xml version="1.0" encoding="utf-8"?>
<formControlPr xmlns="http://schemas.microsoft.com/office/spreadsheetml/2009/9/main" objectType="Scroll" dx="22" fmlaLink="$E$56" horiz="1" max="1000" min="1" page="10"/>
</file>

<file path=xl/ctrlProps/ctrlProp28.xml><?xml version="1.0" encoding="utf-8"?>
<formControlPr xmlns="http://schemas.microsoft.com/office/spreadsheetml/2009/9/main" objectType="Scroll" dx="22" fmlaLink="$E$57" horiz="1" max="1000" min="1" page="10"/>
</file>

<file path=xl/ctrlProps/ctrlProp29.xml><?xml version="1.0" encoding="utf-8"?>
<formControlPr xmlns="http://schemas.microsoft.com/office/spreadsheetml/2009/9/main" objectType="Scroll" dx="22" fmlaLink="$E$56" horiz="1" max="1000" min="1" page="10"/>
</file>

<file path=xl/ctrlProps/ctrlProp30.xml><?xml version="1.0" encoding="utf-8"?>
<formControlPr xmlns="http://schemas.microsoft.com/office/spreadsheetml/2009/9/main" objectType="Scroll" dx="22" fmlaLink="$C$2" horiz="1" max="1000" min="1" page="10" val="5"/>
</file>

<file path=xl/ctrlProps/ctrlProp31.xml><?xml version="1.0" encoding="utf-8"?>
<formControlPr xmlns="http://schemas.microsoft.com/office/spreadsheetml/2009/9/main" objectType="Scroll" dx="22" fmlaLink="$D$5" horiz="1" max="100" min="1" page="10" val="45"/>
</file>

<file path=xl/ctrlProps/ctrlProp32.xml><?xml version="1.0" encoding="utf-8"?>
<formControlPr xmlns="http://schemas.microsoft.com/office/spreadsheetml/2009/9/main" objectType="Scroll" dx="22" fmlaLink="$P$3" horiz="1" max="1000" min="1" page="10" val="306"/>
</file>

<file path=xl/ctrlProps/ctrlProp33.xml><?xml version="1.0" encoding="utf-8"?>
<formControlPr xmlns="http://schemas.microsoft.com/office/spreadsheetml/2009/9/main" objectType="Scroll" dx="22" fmlaLink="$P$16" horiz="1" max="1000" min="1" page="10"/>
</file>

<file path=xl/ctrlProps/ctrlProp34.xml><?xml version="1.0" encoding="utf-8"?>
<formControlPr xmlns="http://schemas.microsoft.com/office/spreadsheetml/2009/9/main" objectType="Scroll" dx="22" fmlaLink="$C$12" horiz="1" inc="10" max="2500" min="1000" page="100" val="1900"/>
</file>

<file path=xl/ctrlProps/ctrlProp35.xml><?xml version="1.0" encoding="utf-8"?>
<formControlPr xmlns="http://schemas.microsoft.com/office/spreadsheetml/2009/9/main" objectType="Scroll" dx="22" fmlaLink="$C$15" horiz="1" max="200" min="1" page="10" val="24"/>
</file>

<file path=xl/ctrlProps/ctrlProp36.xml><?xml version="1.0" encoding="utf-8"?>
<formControlPr xmlns="http://schemas.microsoft.com/office/spreadsheetml/2009/9/main" objectType="Scroll" dx="22" fmlaLink="$C$16" horiz="1" inc="10" max="2500" min="50" page="100" val="200"/>
</file>

<file path=xl/ctrlProps/ctrlProp37.xml><?xml version="1.0" encoding="utf-8"?>
<formControlPr xmlns="http://schemas.microsoft.com/office/spreadsheetml/2009/9/main" objectType="Scroll" dx="22" fmlaLink="$C$13" horiz="1" inc="10" max="2500" min="1000" page="100" val="1800"/>
</file>

<file path=xl/ctrlProps/ctrlProp38.xml><?xml version="1.0" encoding="utf-8"?>
<formControlPr xmlns="http://schemas.microsoft.com/office/spreadsheetml/2009/9/main" objectType="Scroll" dx="22" fmlaLink="$C$14" horiz="1" max="200" min="1" page="10" val="31"/>
</file>

<file path=xl/ctrlProps/ctrlProp39.xml><?xml version="1.0" encoding="utf-8"?>
<formControlPr xmlns="http://schemas.microsoft.com/office/spreadsheetml/2009/9/main" objectType="Scroll" dx="22" fmlaLink="$C$17" horiz="1" inc="10" max="2500" min="50" page="100" val="2000"/>
</file>

<file path=xl/ctrlProps/ctrlProp40.xml><?xml version="1.0" encoding="utf-8"?>
<formControlPr xmlns="http://schemas.microsoft.com/office/spreadsheetml/2009/9/main" objectType="Scroll" dx="22" fmlaLink="$C$18" horiz="1" inc="10" max="2500" min="50" page="100" val="1500"/>
</file>

<file path=xl/ctrlProps/ctrlProp41.xml><?xml version="1.0" encoding="utf-8"?>
<formControlPr xmlns="http://schemas.microsoft.com/office/spreadsheetml/2009/9/main" objectType="Scroll" dx="22" fmlaLink="$C$20" horiz="1" max="300" min="50" page="10" val="95"/>
</file>

<file path=xl/ctrlProps/ctrlProp42.xml><?xml version="1.0" encoding="utf-8"?>
<formControlPr xmlns="http://schemas.microsoft.com/office/spreadsheetml/2009/9/main" objectType="Scroll" dx="22" fmlaLink="$C$19" horiz="1" max="200" min="25" page="10" val="9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16</xdr:row>
          <xdr:rowOff>19050</xdr:rowOff>
        </xdr:from>
        <xdr:to>
          <xdr:col>5</xdr:col>
          <xdr:colOff>0</xdr:colOff>
          <xdr:row>16</xdr:row>
          <xdr:rowOff>180975</xdr:rowOff>
        </xdr:to>
        <xdr:sp macro="" textlink="">
          <xdr:nvSpPr>
            <xdr:cNvPr id="7176" name="Scroll Bar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1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20</xdr:row>
      <xdr:rowOff>28575</xdr:rowOff>
    </xdr:from>
    <xdr:to>
      <xdr:col>7</xdr:col>
      <xdr:colOff>600074</xdr:colOff>
      <xdr:row>22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619749" y="387667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9525</xdr:rowOff>
        </xdr:from>
        <xdr:to>
          <xdr:col>4</xdr:col>
          <xdr:colOff>600075</xdr:colOff>
          <xdr:row>15</xdr:row>
          <xdr:rowOff>171450</xdr:rowOff>
        </xdr:to>
        <xdr:sp macro="" textlink="">
          <xdr:nvSpPr>
            <xdr:cNvPr id="7179" name="Scroll Bar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4" name="Parentesi graffa apert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91124" y="378142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8212" name="Scroll Bar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2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8213" name="Scroll Bar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2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8214" name="Scroll Bar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2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8215" name="Scroll Bar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2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2" name="Parentesi graffa aperta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933949" y="349567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25" name="Scroll Bar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3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9226" name="Scroll Bar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3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27" name="Scroll Bar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3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9228" name="Scroll Bar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3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524374" y="340995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30" name="Scroll Bar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9231" name="Scroll Bar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3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32" name="Scroll Bar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3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9233" name="Scroll Bar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3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48099" y="339090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47" name="Scroll Bar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4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14348" name="Scroll Bar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4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49" name="Scroll Bar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4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14350" name="Scroll Bar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4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4" name="Parentesi graffa aperta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48099" y="339090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51" name="Scroll Bar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4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14352" name="Scroll Bar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4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53" name="Scroll Bar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4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14354" name="Scroll Bar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4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4</xdr:col>
          <xdr:colOff>790575</xdr:colOff>
          <xdr:row>27</xdr:row>
          <xdr:rowOff>171450</xdr:rowOff>
        </xdr:to>
        <xdr:sp macro="" textlink="">
          <xdr:nvSpPr>
            <xdr:cNvPr id="10247" name="Scroll Bar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</xdr:row>
          <xdr:rowOff>19050</xdr:rowOff>
        </xdr:from>
        <xdr:to>
          <xdr:col>5</xdr:col>
          <xdr:colOff>9525</xdr:colOff>
          <xdr:row>29</xdr:row>
          <xdr:rowOff>0</xdr:rowOff>
        </xdr:to>
        <xdr:sp macro="" textlink="">
          <xdr:nvSpPr>
            <xdr:cNvPr id="10249" name="Scroll Bar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16</xdr:row>
          <xdr:rowOff>180975</xdr:rowOff>
        </xdr:from>
        <xdr:to>
          <xdr:col>11</xdr:col>
          <xdr:colOff>600075</xdr:colOff>
          <xdr:row>17</xdr:row>
          <xdr:rowOff>180975</xdr:rowOff>
        </xdr:to>
        <xdr:sp macro="" textlink="">
          <xdr:nvSpPr>
            <xdr:cNvPr id="10255" name="Scroll Bar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17</xdr:row>
          <xdr:rowOff>180975</xdr:rowOff>
        </xdr:from>
        <xdr:to>
          <xdr:col>11</xdr:col>
          <xdr:colOff>600075</xdr:colOff>
          <xdr:row>18</xdr:row>
          <xdr:rowOff>180975</xdr:rowOff>
        </xdr:to>
        <xdr:sp macro="" textlink="">
          <xdr:nvSpPr>
            <xdr:cNvPr id="10256" name="Scroll Bar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55</xdr:row>
          <xdr:rowOff>19050</xdr:rowOff>
        </xdr:from>
        <xdr:to>
          <xdr:col>5</xdr:col>
          <xdr:colOff>552450</xdr:colOff>
          <xdr:row>56</xdr:row>
          <xdr:rowOff>9525</xdr:rowOff>
        </xdr:to>
        <xdr:sp macro="" textlink="">
          <xdr:nvSpPr>
            <xdr:cNvPr id="19458" name="Scroll Bar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56</xdr:row>
          <xdr:rowOff>0</xdr:rowOff>
        </xdr:from>
        <xdr:to>
          <xdr:col>5</xdr:col>
          <xdr:colOff>552450</xdr:colOff>
          <xdr:row>56</xdr:row>
          <xdr:rowOff>180975</xdr:rowOff>
        </xdr:to>
        <xdr:sp macro="" textlink="">
          <xdr:nvSpPr>
            <xdr:cNvPr id="19459" name="Scroll Bar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65</xdr:row>
          <xdr:rowOff>0</xdr:rowOff>
        </xdr:from>
        <xdr:to>
          <xdr:col>11</xdr:col>
          <xdr:colOff>171450</xdr:colOff>
          <xdr:row>65</xdr:row>
          <xdr:rowOff>180975</xdr:rowOff>
        </xdr:to>
        <xdr:sp macro="" textlink="">
          <xdr:nvSpPr>
            <xdr:cNvPr id="19460" name="Scroll Bar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104775</xdr:colOff>
      <xdr:row>55</xdr:row>
      <xdr:rowOff>142875</xdr:rowOff>
    </xdr:from>
    <xdr:to>
      <xdr:col>24</xdr:col>
      <xdr:colOff>152400</xdr:colOff>
      <xdr:row>67</xdr:row>
      <xdr:rowOff>47625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139B2EE-CEA7-E83A-0EDD-A564E36A0EB9}"/>
            </a:ext>
          </a:extLst>
        </xdr:cNvPr>
        <xdr:cNvSpPr txBox="1"/>
      </xdr:nvSpPr>
      <xdr:spPr>
        <a:xfrm>
          <a:off x="8801100" y="3381375"/>
          <a:ext cx="6753225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Quanto idrogeno mi serve,</a:t>
          </a:r>
          <a:r>
            <a:rPr lang="it-IT" sz="1100" baseline="0"/>
            <a:t> in un anno, per:</a:t>
          </a:r>
        </a:p>
        <a:p>
          <a:endParaRPr lang="it-IT" sz="1100" baseline="0"/>
        </a:p>
        <a:p>
          <a:r>
            <a:rPr lang="it-IT" sz="1100" baseline="0"/>
            <a:t>- caldaia a gas</a:t>
          </a:r>
        </a:p>
        <a:p>
          <a:r>
            <a:rPr lang="it-IT" sz="1100" baseline="0"/>
            <a:t>- auto</a:t>
          </a:r>
        </a:p>
        <a:p>
          <a:r>
            <a:rPr lang="it-IT" sz="1100" baseline="0"/>
            <a:t>- autobus extraurbano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19050</xdr:rowOff>
        </xdr:from>
        <xdr:to>
          <xdr:col>6</xdr:col>
          <xdr:colOff>0</xdr:colOff>
          <xdr:row>1</xdr:row>
          <xdr:rowOff>180975</xdr:rowOff>
        </xdr:to>
        <xdr:sp macro="" textlink="">
          <xdr:nvSpPr>
            <xdr:cNvPr id="19461" name="Scroll Bar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6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19462" name="Scroll Bar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6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</xdr:row>
          <xdr:rowOff>0</xdr:rowOff>
        </xdr:from>
        <xdr:to>
          <xdr:col>17</xdr:col>
          <xdr:colOff>571500</xdr:colOff>
          <xdr:row>3</xdr:row>
          <xdr:rowOff>9525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34</xdr:col>
      <xdr:colOff>57150</xdr:colOff>
      <xdr:row>0</xdr:row>
      <xdr:rowOff>257175</xdr:rowOff>
    </xdr:from>
    <xdr:to>
      <xdr:col>46</xdr:col>
      <xdr:colOff>571500</xdr:colOff>
      <xdr:row>73</xdr:row>
      <xdr:rowOff>114300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7736800" y="257175"/>
          <a:ext cx="7829550" cy="1388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Dettaglio dei Calcoli e Processi</a:t>
          </a:r>
        </a:p>
        <a:p>
          <a:endParaRPr lang="it-IT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Olio Grezzo → Benzina (al serbatoio)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Estrazione → Trasporto (nave/oleodotto) → Raffinazione (Distillazione + Cracking) → Trasporto → Stoccaggio → Distributore.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(circa 15% dell'energia primaria del greggio viene consumata per trasformarlo e trasportarlo).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Energia Primaria: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100 MJ di greggio 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 MJ di benzina nel serbatoio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Olio Grezzo → Diesel (al serbatoio)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Simile alla benzina, ma il processo di raffinazione del diesel è leggermente meno complesso.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(marginalmente più efficiente della benzina).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Energia Primaria: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100 MJ di greggio 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~87 MJ di diesel nel serbatoio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Produzione Idrogeno → Idrogeno (al serbatoio a 700 bar)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Questo è il processo più critico e dipende fortemente dal metodo di produzione.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 A: da Metano (SMR) - Il più comune (95% dei casi)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Estrazione gas → Steam Methane Reforming (SMR) → Compressione a 700 bar → Trasporto → Distributore.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SMR: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~76%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Compressione a 700 bar: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~92%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0.76 * 0.92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~70%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 B: da Elettrolisi - L'"idrogeno verde"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Elettricità → Elettrolisi (efficienza ~70%) → Compressione a 700 bar (efficienza ~92%).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0.70 * 0.92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~65%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(Tuttavia, se si considera l'energia primaria per produrre l'elettricità, il rendimento crolla).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"Well-to-Tank" Completo (con FV):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Se l'elettricità viene dal sole, il rendimento totale diventa: 0.85 (produzione elettrica FV) * 0.65 (elettrolisi+compressione)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~55%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1"/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Produzione Elettricità (Fotovoltaico) → Batteria (macchina)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Sole → Cella FV (efficienza ~20%) → Inverter (efficienza ~97%) → Trasmissione in rete (efficienza ~95%) → Caricabordo auto (efficienza ~92%) → Batteria.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 (dalla radiazione solare all'energia in batteria):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0.20 (cella FV) * 0.97 (inverter) * 0.95 (rete) * 0.92 (caricabordo)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~17%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Attenzione: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Questo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 il rendimento della conversione dell'energia solare in energia meccanica. Tuttavia, per confrontarlo con gli altri vettori, che partono da un'energia primaria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contenuta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(greggio, gas), il confronto corretto è considerare l'elettricità come "vettore finale". Quindi, il rendimento del processo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dall'elettricità prodotta (in uscita dai pannelli) all'energia in batteria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0.97 (inverter) * 0.95 (rete) * 0.92 (caricabordo)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Conclusioni Chiave: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L'elettrico è di gran lunga il vettore più efficiente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livello di sistema energetico globale (Well-to-Wheel). La maggior parte dell'energia primaria (solare, eolica, ecc.) finisce per muovere il veicolo.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combustibili fossili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disperdono oltre il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70-80%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dell'energia primaria in calore e processi di trasformazione.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L'idrogeno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anche nella migliore delle ipotesi (prodotto da gas naturale), ha un'efficienza complessiva simile a un diesel. Se prodotto da elettricità rinnovabile (idrogeno verde), l'efficienza è addirittura peggiore di un'auto a benzina, perché si perde la maggior parte dell'energia nell'elettrolisi.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Metano (Gas Naturale)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WTT Medio: ~91%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Descrizione del Processo "Well-to-Tank":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Estrazione → Trattamento → Trasporto (Gasdotto) → Compressione Rete Locale → Distributore/Casa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Estrazione &amp; Trattamento Iniziale: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viene estratto dal giacimento e sottoposto a una prima pulizia per rimuovere acqua, zolfo e altre impurità.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minime per fughe controllate.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Trasporto in Gasdotto (Lunghe Distanze):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viaggia per migliaia di km nei gasdotti. Sono necessarie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stazioni di compressione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ogni 100-200 km per mantenere la pressione.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~94%.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Le perdite principali sono l'energia elettrica per le stazioni di compressione e fughe di metano minori (il metano è un potente gas serra).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Stoccaggio e Distribuzione Locale: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viene stoccato in grandi serbatoi, ridotto di pressione e distribuito nella rete cittadina fino al contatore di casa o al distributore di metano per auto (CNG).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~99%.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molto basse.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Calcolo Rendimento WTT Totale Metano: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0.98 * 0.94 * 0.99 ≈ 0.91 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91%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it-IT"/>
          </a:br>
          <a:endParaRPr lang="it-IT"/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Pellet di Legno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WTT Medio: ~85%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Descrizione del Processo "Well-to-Tank":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Silvicoltura/Raccolta Scarti → Trasporto → Essiccazione → Macinazione e Pressatura → Imballaggio → Trasporto → Rivenditore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Silvicoltura &amp; Raccolta: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legno deriva da foreste gestite o, più comunemente, è un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sottoprodotto di segherie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(trucioli, segatura). Non si tagliano alberi solo per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~99%.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Nessuna perdita significativa.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Trasporto alla Fabbrica: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materiale legnoso viene trasportato su camion alla fabbrica di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~97%.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Consumo di gasolio per il trasporto.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Essiccazione: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 la fase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più energivora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L'umidità del legno (50-60%) deve essere ridotta a circa l'8% per una buona pressatura. Spesso si usa bruciare parte degli scarti di legno per generare il calore necessario.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~88%.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Alta richiesta di energia termica.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Macinazione e Pressatura: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legno secco viene polverizzato e compresso ad alta pressione attraverso una matrice forata per formare i cilindretti di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~95%.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Consumo di energia elettrica per i macchinari.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Imballaggio e Trasporto Finale: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 pellet vengono insacchettati o stivati in grandi container e trasportati al rivenditore finale.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per trasporto e imballaggio.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Calcolo Rendimento WTT Totale Pellet: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0.99 * 0.97 * 0.88 * 0.95 * 0.98 ≈ 0.78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Tuttavia, il valore comunemente accettato è più alto (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perché il processo di essiccazione, se alimentato con gli scarti della lavorazione stessa (corteccia, segatura), ha un rendimento "gratuito" che migliora l'efficienza complessiva della filiera.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15</xdr:row>
          <xdr:rowOff>0</xdr:rowOff>
        </xdr:from>
        <xdr:to>
          <xdr:col>17</xdr:col>
          <xdr:colOff>571500</xdr:colOff>
          <xdr:row>16</xdr:row>
          <xdr:rowOff>9525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9525</xdr:rowOff>
        </xdr:from>
        <xdr:to>
          <xdr:col>4</xdr:col>
          <xdr:colOff>9525</xdr:colOff>
          <xdr:row>11</xdr:row>
          <xdr:rowOff>180975</xdr:rowOff>
        </xdr:to>
        <xdr:sp macro="" textlink="">
          <xdr:nvSpPr>
            <xdr:cNvPr id="2058" name="Scroll Ba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7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14</xdr:row>
          <xdr:rowOff>9525</xdr:rowOff>
        </xdr:from>
        <xdr:to>
          <xdr:col>4</xdr:col>
          <xdr:colOff>0</xdr:colOff>
          <xdr:row>14</xdr:row>
          <xdr:rowOff>171450</xdr:rowOff>
        </xdr:to>
        <xdr:sp macro="" textlink="">
          <xdr:nvSpPr>
            <xdr:cNvPr id="2059" name="Scroll Bar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7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609600</xdr:colOff>
          <xdr:row>15</xdr:row>
          <xdr:rowOff>9525</xdr:rowOff>
        </xdr:from>
        <xdr:to>
          <xdr:col>3</xdr:col>
          <xdr:colOff>600075</xdr:colOff>
          <xdr:row>15</xdr:row>
          <xdr:rowOff>171450</xdr:rowOff>
        </xdr:to>
        <xdr:sp macro="" textlink="">
          <xdr:nvSpPr>
            <xdr:cNvPr id="2060" name="Scroll Bar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7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9525</xdr:rowOff>
        </xdr:from>
        <xdr:to>
          <xdr:col>4</xdr:col>
          <xdr:colOff>0</xdr:colOff>
          <xdr:row>12</xdr:row>
          <xdr:rowOff>180975</xdr:rowOff>
        </xdr:to>
        <xdr:sp macro="" textlink="">
          <xdr:nvSpPr>
            <xdr:cNvPr id="2061" name="Scroll Bar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7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</xdr:row>
          <xdr:rowOff>9525</xdr:rowOff>
        </xdr:from>
        <xdr:to>
          <xdr:col>4</xdr:col>
          <xdr:colOff>0</xdr:colOff>
          <xdr:row>13</xdr:row>
          <xdr:rowOff>180975</xdr:rowOff>
        </xdr:to>
        <xdr:sp macro="" textlink="">
          <xdr:nvSpPr>
            <xdr:cNvPr id="2062" name="Scroll Bar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7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9525</xdr:rowOff>
        </xdr:from>
        <xdr:to>
          <xdr:col>3</xdr:col>
          <xdr:colOff>600075</xdr:colOff>
          <xdr:row>16</xdr:row>
          <xdr:rowOff>180975</xdr:rowOff>
        </xdr:to>
        <xdr:sp macro="" textlink="">
          <xdr:nvSpPr>
            <xdr:cNvPr id="2063" name="Scroll Bar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7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600075</xdr:colOff>
          <xdr:row>17</xdr:row>
          <xdr:rowOff>171450</xdr:rowOff>
        </xdr:to>
        <xdr:sp macro="" textlink="">
          <xdr:nvSpPr>
            <xdr:cNvPr id="2064" name="Scroll Bar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7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600075</xdr:colOff>
          <xdr:row>19</xdr:row>
          <xdr:rowOff>9525</xdr:rowOff>
        </xdr:from>
        <xdr:to>
          <xdr:col>4</xdr:col>
          <xdr:colOff>0</xdr:colOff>
          <xdr:row>19</xdr:row>
          <xdr:rowOff>180975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7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9525</xdr:rowOff>
        </xdr:from>
        <xdr:to>
          <xdr:col>3</xdr:col>
          <xdr:colOff>590550</xdr:colOff>
          <xdr:row>18</xdr:row>
          <xdr:rowOff>171450</xdr:rowOff>
        </xdr:to>
        <xdr:sp macro="" textlink="">
          <xdr:nvSpPr>
            <xdr:cNvPr id="2068" name="Scroll Ba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7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85725</xdr:colOff>
      <xdr:row>103</xdr:row>
      <xdr:rowOff>152400</xdr:rowOff>
    </xdr:from>
    <xdr:to>
      <xdr:col>24</xdr:col>
      <xdr:colOff>1209675</xdr:colOff>
      <xdr:row>114</xdr:row>
      <xdr:rowOff>114300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181975" y="18945225"/>
          <a:ext cx="817245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Punto di Rottura ("End of Life"):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Diesel: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Usura generale del motore, turbocompressore, trasmissione, e/o costi di manutenzione troppo elevati.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Elettrico (BEV):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Degrado della batteria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sotto una soglia accettabile (es. &lt;70-80% di capacità), che riduce l'autonomia in modo inaccettabile. Il motore elettrico e il telaio possono durare più a lungo.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Idrogeno (FCEV):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Degrado della cella a combustibile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che perde potenza ed efficienza nel tempo. La sostituzione è molto costosa, spesso antieconomica.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 Utile in Anni: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camion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hanno una vita corta in anni a causa dell'enorme chilometraggio annuo.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Autobus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(urbani/extraurbani) hanno una vita lunga in anni perché, nonostante un buon chilometraggio, il veicolo stesso è un asset costoso che le aziende di trasporto cercano di ammortizzare il più a lungo possibile.</a:t>
          </a:r>
        </a:p>
        <a:p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ctrlProp" Target="../ctrlProps/ctrlProp7.xml"/><Relationship Id="rId7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0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8.xml"/><Relationship Id="rId11" Type="http://schemas.openxmlformats.org/officeDocument/2006/relationships/comments" Target="../comments4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7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ctrlProp" Target="../ctrlProps/ctrlProp27.xml"/><Relationship Id="rId7" Type="http://schemas.openxmlformats.org/officeDocument/2006/relationships/ctrlProp" Target="../ctrlProps/ctrlProp3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3" Type="http://schemas.openxmlformats.org/officeDocument/2006/relationships/ctrlProp" Target="../ctrlProps/ctrlProp32.x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0" Type="http://schemas.openxmlformats.org/officeDocument/2006/relationships/ctrlProp" Target="../ctrlProps/ctrlProp39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7C45-3057-433B-837F-41384DA04824}">
  <dimension ref="A1:AA20"/>
  <sheetViews>
    <sheetView zoomScaleNormal="100" workbookViewId="0">
      <selection activeCell="H20" sqref="H20"/>
    </sheetView>
  </sheetViews>
  <sheetFormatPr defaultRowHeight="15" x14ac:dyDescent="0.25"/>
  <sheetData>
    <row r="1" spans="1:27" x14ac:dyDescent="0.25">
      <c r="B1" t="s">
        <v>214</v>
      </c>
      <c r="F1" t="s">
        <v>446</v>
      </c>
      <c r="K1" t="s">
        <v>215</v>
      </c>
      <c r="T1" t="s">
        <v>216</v>
      </c>
    </row>
    <row r="2" spans="1:27" x14ac:dyDescent="0.25">
      <c r="B2" t="s">
        <v>62</v>
      </c>
      <c r="C2" t="s">
        <v>52</v>
      </c>
      <c r="D2" t="s">
        <v>61</v>
      </c>
      <c r="F2" t="s">
        <v>300</v>
      </c>
      <c r="G2" t="s">
        <v>301</v>
      </c>
      <c r="H2" t="s">
        <v>302</v>
      </c>
      <c r="I2" t="s">
        <v>611</v>
      </c>
      <c r="K2" s="27" t="s">
        <v>217</v>
      </c>
      <c r="L2" t="s">
        <v>332</v>
      </c>
      <c r="M2" t="s">
        <v>213</v>
      </c>
      <c r="N2" t="s">
        <v>335</v>
      </c>
      <c r="P2" t="s">
        <v>385</v>
      </c>
      <c r="Q2" t="s">
        <v>364</v>
      </c>
      <c r="R2" t="s">
        <v>366</v>
      </c>
      <c r="T2" t="s">
        <v>388</v>
      </c>
      <c r="V2" t="s">
        <v>389</v>
      </c>
      <c r="X2" t="s">
        <v>166</v>
      </c>
      <c r="Z2" t="s">
        <v>485</v>
      </c>
    </row>
    <row r="3" spans="1:27" x14ac:dyDescent="0.25">
      <c r="B3" t="s">
        <v>150</v>
      </c>
      <c r="C3" t="s">
        <v>3</v>
      </c>
      <c r="D3" t="s">
        <v>123</v>
      </c>
      <c r="F3" t="s">
        <v>5</v>
      </c>
      <c r="G3" t="s">
        <v>5</v>
      </c>
      <c r="H3" t="s">
        <v>5</v>
      </c>
      <c r="I3" t="s">
        <v>145</v>
      </c>
      <c r="K3" t="s">
        <v>150</v>
      </c>
      <c r="L3" t="s">
        <v>5</v>
      </c>
      <c r="M3" t="s">
        <v>5</v>
      </c>
      <c r="N3" t="s">
        <v>369</v>
      </c>
      <c r="O3" t="s">
        <v>370</v>
      </c>
      <c r="P3" t="s">
        <v>610</v>
      </c>
      <c r="Q3" t="s">
        <v>365</v>
      </c>
      <c r="R3" s="2" t="s">
        <v>384</v>
      </c>
      <c r="T3" t="s">
        <v>168</v>
      </c>
      <c r="U3" t="s">
        <v>171</v>
      </c>
      <c r="V3" t="s">
        <v>168</v>
      </c>
      <c r="W3" t="s">
        <v>171</v>
      </c>
      <c r="X3" t="s">
        <v>171</v>
      </c>
      <c r="Y3" t="s">
        <v>122</v>
      </c>
      <c r="Z3" t="s">
        <v>171</v>
      </c>
      <c r="AA3" t="s">
        <v>122</v>
      </c>
    </row>
    <row r="4" spans="1:27" x14ac:dyDescent="0.25">
      <c r="A4" t="s">
        <v>10</v>
      </c>
      <c r="B4">
        <v>55.75</v>
      </c>
      <c r="C4" s="37">
        <v>828.03986022269612</v>
      </c>
      <c r="D4">
        <v>0.58860562500000002</v>
      </c>
      <c r="F4">
        <v>574.06102941176471</v>
      </c>
      <c r="G4">
        <v>487.95187499999997</v>
      </c>
      <c r="H4">
        <v>121.98796874999999</v>
      </c>
      <c r="I4">
        <v>0.21249999999999999</v>
      </c>
      <c r="K4">
        <v>1008.7500000000001</v>
      </c>
      <c r="L4">
        <v>8829.0843750000004</v>
      </c>
      <c r="M4">
        <v>10387.158088235296</v>
      </c>
      <c r="N4">
        <v>582.55312500000002</v>
      </c>
      <c r="O4">
        <v>2330.2125000000001</v>
      </c>
      <c r="P4">
        <v>2912.765625</v>
      </c>
      <c r="Q4">
        <v>6000</v>
      </c>
      <c r="R4">
        <v>64.255312500000002</v>
      </c>
      <c r="T4">
        <v>0.127775</v>
      </c>
      <c r="U4">
        <v>1916.625</v>
      </c>
      <c r="V4">
        <v>0.08</v>
      </c>
      <c r="W4">
        <v>1200</v>
      </c>
      <c r="X4">
        <v>2050</v>
      </c>
      <c r="Y4">
        <v>41000</v>
      </c>
      <c r="Z4">
        <v>5166.625</v>
      </c>
      <c r="AA4">
        <v>103332.5</v>
      </c>
    </row>
    <row r="5" spans="1:27" x14ac:dyDescent="0.25">
      <c r="A5" t="s">
        <v>73</v>
      </c>
      <c r="B5">
        <v>61</v>
      </c>
      <c r="C5" s="56">
        <v>1125</v>
      </c>
      <c r="D5" s="29">
        <v>0.5347674</v>
      </c>
      <c r="F5">
        <v>694.3552873563217</v>
      </c>
      <c r="G5" s="9">
        <v>604.08909999999992</v>
      </c>
      <c r="H5" s="9">
        <v>193.30851199999998</v>
      </c>
      <c r="I5" s="9">
        <v>0.27840000000000004</v>
      </c>
      <c r="K5" s="3">
        <v>810</v>
      </c>
      <c r="L5">
        <v>8021.5110000000004</v>
      </c>
      <c r="M5" s="9">
        <v>9220.1275862068978</v>
      </c>
      <c r="N5" s="9">
        <v>320.7600000000001</v>
      </c>
      <c r="O5" s="9">
        <v>2138.4000000000005</v>
      </c>
      <c r="P5">
        <v>2459.1600000000008</v>
      </c>
      <c r="Q5">
        <v>6000</v>
      </c>
      <c r="R5" s="9">
        <v>55.183200000000014</v>
      </c>
      <c r="S5" s="9"/>
      <c r="T5">
        <v>9.7200000000000009E-2</v>
      </c>
      <c r="U5">
        <v>1458.0000000000002</v>
      </c>
      <c r="V5">
        <v>6.5000000000000002E-2</v>
      </c>
      <c r="W5">
        <v>975</v>
      </c>
      <c r="X5">
        <v>2250</v>
      </c>
      <c r="Y5">
        <v>45000</v>
      </c>
      <c r="Z5">
        <v>4683</v>
      </c>
      <c r="AA5">
        <v>93660</v>
      </c>
    </row>
    <row r="6" spans="1:27" x14ac:dyDescent="0.25">
      <c r="A6" t="s">
        <v>210</v>
      </c>
      <c r="B6">
        <v>59.5</v>
      </c>
      <c r="C6" s="37">
        <v>435.69079360297252</v>
      </c>
      <c r="D6" s="29">
        <v>0.13666666666666669</v>
      </c>
      <c r="F6">
        <v>119</v>
      </c>
      <c r="G6" s="9">
        <v>59.5</v>
      </c>
      <c r="H6" s="9">
        <v>53.550000000000004</v>
      </c>
      <c r="I6" s="9">
        <v>0.45</v>
      </c>
      <c r="K6">
        <v>2050.0000000000005</v>
      </c>
      <c r="L6">
        <v>2050.0000000000005</v>
      </c>
      <c r="M6" s="9">
        <v>4100.0000000000009</v>
      </c>
      <c r="N6" s="9">
        <v>440.75000000000011</v>
      </c>
      <c r="O6" s="9">
        <v>0</v>
      </c>
      <c r="P6">
        <v>440.75000000000011</v>
      </c>
      <c r="Q6">
        <v>12000</v>
      </c>
      <c r="R6">
        <v>20.815000000000001</v>
      </c>
      <c r="S6" s="9"/>
      <c r="T6">
        <v>4.2366666666666671E-2</v>
      </c>
      <c r="U6">
        <v>635.50000000000011</v>
      </c>
      <c r="V6">
        <v>0.03</v>
      </c>
      <c r="W6">
        <v>450</v>
      </c>
      <c r="X6">
        <v>1916.6666666666667</v>
      </c>
      <c r="Y6">
        <v>38333.333333333336</v>
      </c>
      <c r="Z6">
        <v>3002.166666666667</v>
      </c>
      <c r="AA6">
        <v>60043.333333333336</v>
      </c>
    </row>
    <row r="7" spans="1:27" x14ac:dyDescent="0.25">
      <c r="A7" t="s">
        <v>211</v>
      </c>
      <c r="B7">
        <v>59.5</v>
      </c>
      <c r="C7" s="56">
        <v>435.69079360297252</v>
      </c>
      <c r="D7" s="29">
        <v>0.13666666666666669</v>
      </c>
      <c r="F7">
        <v>66.111111111111114</v>
      </c>
      <c r="G7" s="9">
        <v>59.5</v>
      </c>
      <c r="H7" s="9">
        <v>53.550000000000004</v>
      </c>
      <c r="I7" s="9">
        <v>0.81</v>
      </c>
      <c r="K7" s="3">
        <v>2050.0000000000005</v>
      </c>
      <c r="L7">
        <v>2050.0000000000005</v>
      </c>
      <c r="M7" s="9">
        <v>2277.7777777777783</v>
      </c>
      <c r="N7" s="9">
        <v>112.75000000000003</v>
      </c>
      <c r="O7" s="9">
        <v>0</v>
      </c>
      <c r="P7">
        <v>112.75000000000003</v>
      </c>
      <c r="Q7">
        <v>12000</v>
      </c>
      <c r="R7" s="9">
        <v>14.255000000000001</v>
      </c>
      <c r="S7" s="9"/>
      <c r="T7">
        <v>3.2800000000000003E-2</v>
      </c>
      <c r="U7">
        <v>492.00000000000006</v>
      </c>
      <c r="V7">
        <v>0.03</v>
      </c>
      <c r="W7">
        <v>450</v>
      </c>
      <c r="X7">
        <v>1916.6666666666667</v>
      </c>
      <c r="Y7">
        <v>38333.333333333336</v>
      </c>
      <c r="Z7">
        <v>2858.666666666667</v>
      </c>
      <c r="AA7">
        <v>57173.333333333336</v>
      </c>
    </row>
    <row r="8" spans="1:27" x14ac:dyDescent="0.25">
      <c r="A8" t="s">
        <v>232</v>
      </c>
      <c r="B8">
        <v>5.9649999999999999</v>
      </c>
      <c r="C8" s="56">
        <v>702.36710963455153</v>
      </c>
      <c r="D8" s="29">
        <v>0.33329999999999999</v>
      </c>
      <c r="F8">
        <v>284.01921428571427</v>
      </c>
      <c r="G8" s="9">
        <v>198.81344999999999</v>
      </c>
      <c r="H8" s="9">
        <v>89.466052500000004</v>
      </c>
      <c r="I8" s="9">
        <v>0.31500000000000006</v>
      </c>
      <c r="K8" s="3">
        <v>150</v>
      </c>
      <c r="L8">
        <v>4999.5</v>
      </c>
      <c r="M8" s="9">
        <v>7142.1428571428578</v>
      </c>
      <c r="N8" s="9">
        <v>1650</v>
      </c>
      <c r="O8" s="9">
        <v>0</v>
      </c>
      <c r="P8">
        <v>1650</v>
      </c>
      <c r="Q8">
        <v>14000</v>
      </c>
      <c r="R8">
        <v>47</v>
      </c>
      <c r="S8" s="9"/>
      <c r="T8">
        <v>0.02</v>
      </c>
      <c r="U8">
        <v>300</v>
      </c>
      <c r="V8">
        <v>5.5000000000000007E-2</v>
      </c>
      <c r="W8">
        <v>825.00000000000011</v>
      </c>
      <c r="X8">
        <v>3375</v>
      </c>
      <c r="Y8">
        <v>67500</v>
      </c>
      <c r="Z8">
        <v>4500</v>
      </c>
      <c r="AA8">
        <v>90000</v>
      </c>
    </row>
    <row r="9" spans="1:27" x14ac:dyDescent="0.25">
      <c r="A9" t="s">
        <v>221</v>
      </c>
      <c r="B9">
        <v>5.9649999999999999</v>
      </c>
      <c r="C9" s="37">
        <v>702.36710963455153</v>
      </c>
      <c r="D9">
        <v>0.33329999999999999</v>
      </c>
      <c r="F9">
        <v>722.95799999999986</v>
      </c>
      <c r="G9">
        <v>198.81344999999999</v>
      </c>
      <c r="H9">
        <v>89.466052500000004</v>
      </c>
      <c r="I9">
        <v>0.12375000000000003</v>
      </c>
      <c r="K9">
        <v>150</v>
      </c>
      <c r="L9">
        <v>4999.5</v>
      </c>
      <c r="M9">
        <v>18180</v>
      </c>
      <c r="N9">
        <v>1935.0000000000002</v>
      </c>
      <c r="O9">
        <v>0</v>
      </c>
      <c r="P9">
        <v>1935.0000000000002</v>
      </c>
      <c r="Q9">
        <v>14000</v>
      </c>
      <c r="R9">
        <v>52.70000000000001</v>
      </c>
      <c r="T9">
        <v>0.19999999999999998</v>
      </c>
      <c r="U9">
        <v>2999.9999999999995</v>
      </c>
      <c r="V9">
        <v>5.5000000000000007E-2</v>
      </c>
      <c r="W9">
        <v>825.00000000000011</v>
      </c>
      <c r="X9">
        <v>3375</v>
      </c>
      <c r="Y9">
        <v>67500</v>
      </c>
      <c r="Z9">
        <v>7200</v>
      </c>
      <c r="AA9">
        <v>144000</v>
      </c>
    </row>
    <row r="10" spans="1:27" x14ac:dyDescent="0.25">
      <c r="A10" t="s">
        <v>220</v>
      </c>
      <c r="B10">
        <v>5.9649999999999999</v>
      </c>
      <c r="C10" s="37">
        <v>702.36710963455153</v>
      </c>
      <c r="D10">
        <v>0.33329999999999999</v>
      </c>
      <c r="F10">
        <v>320.66685483870964</v>
      </c>
      <c r="G10">
        <v>198.81344999999999</v>
      </c>
      <c r="H10">
        <v>89.466052500000004</v>
      </c>
      <c r="I10">
        <v>0.27900000000000003</v>
      </c>
      <c r="K10">
        <v>150</v>
      </c>
      <c r="L10">
        <v>4999.5</v>
      </c>
      <c r="M10">
        <v>8063.7096774193551</v>
      </c>
      <c r="N10">
        <v>450</v>
      </c>
      <c r="O10">
        <v>0</v>
      </c>
      <c r="P10">
        <v>450</v>
      </c>
      <c r="Q10">
        <v>14000</v>
      </c>
      <c r="R10">
        <v>23</v>
      </c>
      <c r="T10">
        <v>0.15</v>
      </c>
      <c r="U10">
        <v>2250</v>
      </c>
      <c r="V10">
        <v>5.5000000000000007E-2</v>
      </c>
      <c r="W10">
        <v>825.00000000000011</v>
      </c>
      <c r="X10">
        <v>3375</v>
      </c>
      <c r="Y10">
        <v>67500</v>
      </c>
      <c r="Z10">
        <v>6450</v>
      </c>
      <c r="AA10">
        <v>129000</v>
      </c>
    </row>
    <row r="13" spans="1:27" x14ac:dyDescent="0.25">
      <c r="B13" t="s">
        <v>620</v>
      </c>
      <c r="E13" t="s">
        <v>612</v>
      </c>
      <c r="I13" t="s">
        <v>616</v>
      </c>
    </row>
    <row r="14" spans="1:27" x14ac:dyDescent="0.25">
      <c r="E14" t="s">
        <v>52</v>
      </c>
    </row>
    <row r="15" spans="1:27" x14ac:dyDescent="0.25">
      <c r="E15" t="s">
        <v>613</v>
      </c>
      <c r="I15" t="s">
        <v>617</v>
      </c>
    </row>
    <row r="16" spans="1:27" x14ac:dyDescent="0.25">
      <c r="E16" t="s">
        <v>614</v>
      </c>
      <c r="I16" t="s">
        <v>614</v>
      </c>
    </row>
    <row r="17" spans="5:9" x14ac:dyDescent="0.25">
      <c r="E17" t="s">
        <v>615</v>
      </c>
      <c r="I17" t="s">
        <v>615</v>
      </c>
    </row>
    <row r="19" spans="5:9" x14ac:dyDescent="0.25">
      <c r="E19" t="s">
        <v>618</v>
      </c>
      <c r="H19" t="s">
        <v>621</v>
      </c>
    </row>
    <row r="20" spans="5:9" x14ac:dyDescent="0.25">
      <c r="E20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C75C-D188-4020-AA0B-9F49133EF2EC}">
  <dimension ref="B1:AB65"/>
  <sheetViews>
    <sheetView zoomScale="90" zoomScaleNormal="90" zoomScaleSheetLayoutView="50" workbookViewId="0">
      <pane xSplit="2" topLeftCell="C1" activePane="topRight" state="frozen"/>
      <selection pane="topRight" activeCell="B20" sqref="B20:G26"/>
    </sheetView>
  </sheetViews>
  <sheetFormatPr defaultColWidth="9.140625" defaultRowHeight="15" x14ac:dyDescent="0.25"/>
  <cols>
    <col min="1" max="1" width="2.7109375" customWidth="1"/>
    <col min="2" max="2" width="29.140625" bestFit="1" customWidth="1"/>
    <col min="19" max="19" width="10.5703125" bestFit="1" customWidth="1"/>
    <col min="20" max="20" width="10.5703125" customWidth="1"/>
    <col min="21" max="21" width="10.5703125" bestFit="1" customWidth="1"/>
    <col min="22" max="22" width="9.5703125" bestFit="1" customWidth="1"/>
    <col min="23" max="23" width="10.5703125" bestFit="1" customWidth="1"/>
  </cols>
  <sheetData>
    <row r="1" spans="2:28" ht="7.5" customHeight="1" x14ac:dyDescent="0.25"/>
    <row r="2" spans="2:28" x14ac:dyDescent="0.25">
      <c r="C2" s="64" t="s">
        <v>214</v>
      </c>
      <c r="D2" s="64"/>
      <c r="E2" s="64"/>
      <c r="G2" s="64" t="s">
        <v>446</v>
      </c>
      <c r="H2" s="64"/>
      <c r="I2" s="64"/>
      <c r="J2" s="64"/>
      <c r="L2" s="64" t="s">
        <v>215</v>
      </c>
      <c r="M2" s="64"/>
      <c r="N2" s="64"/>
      <c r="O2" s="64"/>
      <c r="P2" s="64"/>
      <c r="Q2" s="64"/>
      <c r="R2" s="64"/>
      <c r="S2" s="64"/>
      <c r="T2" s="4"/>
      <c r="U2" s="64" t="s">
        <v>216</v>
      </c>
      <c r="V2" s="64"/>
      <c r="W2" s="64"/>
      <c r="X2" s="64"/>
      <c r="Y2" s="64"/>
      <c r="Z2" s="64"/>
      <c r="AA2" s="64"/>
      <c r="AB2" s="64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6" t="s">
        <v>646</v>
      </c>
      <c r="P3" s="66"/>
      <c r="Q3" t="s">
        <v>385</v>
      </c>
      <c r="R3" s="2" t="s">
        <v>364</v>
      </c>
      <c r="S3" s="2" t="s">
        <v>366</v>
      </c>
      <c r="U3" s="63" t="s">
        <v>388</v>
      </c>
      <c r="V3" s="63"/>
      <c r="W3" s="63" t="s">
        <v>389</v>
      </c>
      <c r="X3" s="63"/>
      <c r="Y3" s="63" t="s">
        <v>166</v>
      </c>
      <c r="Z3" s="63"/>
      <c r="AA3" s="63" t="s">
        <v>485</v>
      </c>
      <c r="AB3" s="63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610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10</v>
      </c>
      <c r="C5" s="7">
        <f>C38</f>
        <v>55.75</v>
      </c>
      <c r="D5" s="7">
        <f>D38</f>
        <v>828.03986022269612</v>
      </c>
      <c r="E5" s="3">
        <f>F38</f>
        <v>0.58860562500000002</v>
      </c>
      <c r="G5" s="7">
        <f t="shared" ref="G5:G11" si="0">H5/M32</f>
        <v>574.06102941176471</v>
      </c>
      <c r="H5" s="7">
        <f>C5*Dati!G3</f>
        <v>487.95187499999997</v>
      </c>
      <c r="I5" s="7">
        <f t="shared" ref="I5:I11" si="1">H5*N32</f>
        <v>121.98796874999999</v>
      </c>
      <c r="J5" s="12">
        <f>I5/G5</f>
        <v>0.21249999999999999</v>
      </c>
      <c r="K5" s="12"/>
      <c r="L5" s="7">
        <f>C17*E38</f>
        <v>1008.7500000000001</v>
      </c>
      <c r="M5" s="25">
        <f t="shared" ref="M5:M11" si="2">$C$17*E5</f>
        <v>8829.0843750000004</v>
      </c>
      <c r="N5" s="25">
        <f t="shared" ref="N5:N11" si="3">M5/M32</f>
        <v>10387.158088235296</v>
      </c>
      <c r="O5" s="25">
        <f>$C$17*E5*M41</f>
        <v>582.55312500000002</v>
      </c>
      <c r="P5" s="25">
        <f t="shared" ref="P5:P11" si="4">$C$17*E5*M50</f>
        <v>2330.2125000000001</v>
      </c>
      <c r="Q5" s="7">
        <f>P5+O5</f>
        <v>2912.765625</v>
      </c>
      <c r="R5" s="25">
        <f>M59</f>
        <v>6000</v>
      </c>
      <c r="S5" s="9">
        <f t="shared" ref="S5:S11" si="5">(R5+(P5+O5)*$C$16)/1000</f>
        <v>64.255312500000002</v>
      </c>
      <c r="U5" s="3">
        <f t="shared" ref="U5:U11" si="6">F20*E5</f>
        <v>0.127775</v>
      </c>
      <c r="V5" s="7">
        <f>$C$17*U5</f>
        <v>1916.625</v>
      </c>
      <c r="W5" s="3">
        <f>Dati!D69</f>
        <v>0.08</v>
      </c>
      <c r="X5">
        <f>W5*$C$17</f>
        <v>1200</v>
      </c>
      <c r="Y5" s="9">
        <f t="shared" ref="Y5:Y11" si="7">Z5/$C$16</f>
        <v>2050</v>
      </c>
      <c r="Z5" s="7">
        <f>G38</f>
        <v>41000</v>
      </c>
      <c r="AA5" s="9">
        <f>AB5/$C$16</f>
        <v>5166.625</v>
      </c>
      <c r="AB5">
        <f>(X5+V5)*$C$16+Z5</f>
        <v>103332.5</v>
      </c>
    </row>
    <row r="6" spans="2:28" x14ac:dyDescent="0.25">
      <c r="B6" s="4" t="s">
        <v>73</v>
      </c>
      <c r="C6" s="7">
        <v>61</v>
      </c>
      <c r="D6" s="7">
        <f>D65</f>
        <v>1125</v>
      </c>
      <c r="E6" s="3">
        <f>F65</f>
        <v>0.5347674</v>
      </c>
      <c r="G6" s="7">
        <f t="shared" si="0"/>
        <v>694.3552873563217</v>
      </c>
      <c r="H6" s="7">
        <f>C6*Dati!G4</f>
        <v>604.08909999999992</v>
      </c>
      <c r="I6" s="7">
        <f t="shared" si="1"/>
        <v>193.30851199999998</v>
      </c>
      <c r="J6" s="12">
        <f>I6/G6</f>
        <v>0.27840000000000004</v>
      </c>
      <c r="K6" s="12"/>
      <c r="L6" s="7">
        <f>C17*E65/100</f>
        <v>810</v>
      </c>
      <c r="M6" s="25">
        <f t="shared" si="2"/>
        <v>8021.5110000000004</v>
      </c>
      <c r="N6" s="25">
        <f t="shared" si="3"/>
        <v>9220.1275862068978</v>
      </c>
      <c r="O6" s="25">
        <f>$C$17*E6*M42</f>
        <v>320.7600000000001</v>
      </c>
      <c r="P6" s="25">
        <f t="shared" si="4"/>
        <v>2138.4000000000005</v>
      </c>
      <c r="Q6" s="7">
        <f t="shared" ref="Q6:Q11" si="8">P6+O6</f>
        <v>2459.1600000000008</v>
      </c>
      <c r="R6" s="25">
        <f>M60</f>
        <v>6000</v>
      </c>
      <c r="S6" s="9">
        <f t="shared" si="5"/>
        <v>55.183200000000014</v>
      </c>
      <c r="U6" s="3">
        <f t="shared" si="6"/>
        <v>9.7200000000000009E-2</v>
      </c>
      <c r="V6" s="7">
        <f t="shared" ref="V6:V11" si="9">$C$17*U6</f>
        <v>1458.0000000000002</v>
      </c>
      <c r="W6" s="3">
        <f>Dati!D70</f>
        <v>6.5000000000000002E-2</v>
      </c>
      <c r="X6">
        <f t="shared" ref="X6:X11" si="10">W6*$C$17</f>
        <v>975</v>
      </c>
      <c r="Y6" s="9">
        <f t="shared" si="7"/>
        <v>2250</v>
      </c>
      <c r="Z6" s="7">
        <f>G65</f>
        <v>45000</v>
      </c>
      <c r="AA6" s="9">
        <f t="shared" ref="AA6:AA11" si="11">AB6/$C$16</f>
        <v>4683</v>
      </c>
      <c r="AB6">
        <f t="shared" ref="AB6:AB11" si="12">(X6+V6)*$C$16+Z6</f>
        <v>93660</v>
      </c>
    </row>
    <row r="7" spans="2:28" x14ac:dyDescent="0.25">
      <c r="B7" s="4" t="s">
        <v>210</v>
      </c>
      <c r="C7" s="7">
        <f>C48</f>
        <v>59.5</v>
      </c>
      <c r="D7" s="7">
        <f>D48</f>
        <v>435.69079360297252</v>
      </c>
      <c r="E7" s="3">
        <f>F48</f>
        <v>0.13666666666666669</v>
      </c>
      <c r="G7" s="7">
        <f t="shared" si="0"/>
        <v>119</v>
      </c>
      <c r="H7" s="7">
        <f>C7</f>
        <v>59.5</v>
      </c>
      <c r="I7" s="7">
        <f t="shared" si="1"/>
        <v>53.550000000000004</v>
      </c>
      <c r="J7" s="12">
        <f t="shared" ref="J7:J11" si="13">I7/G7</f>
        <v>0.45</v>
      </c>
      <c r="K7" s="20"/>
      <c r="L7" s="7">
        <f>C17*E48</f>
        <v>2050.0000000000005</v>
      </c>
      <c r="M7" s="25">
        <f t="shared" si="2"/>
        <v>2050.0000000000005</v>
      </c>
      <c r="N7" s="25">
        <f t="shared" si="3"/>
        <v>4100.0000000000009</v>
      </c>
      <c r="O7" s="25">
        <f>$C$17*E7*$M$43</f>
        <v>440.75000000000011</v>
      </c>
      <c r="P7" s="25">
        <f t="shared" si="4"/>
        <v>0</v>
      </c>
      <c r="Q7" s="7">
        <f t="shared" si="8"/>
        <v>440.75000000000011</v>
      </c>
      <c r="R7" s="26">
        <f>M61</f>
        <v>12000</v>
      </c>
      <c r="S7" s="9">
        <f t="shared" si="5"/>
        <v>20.815000000000001</v>
      </c>
      <c r="U7" s="3">
        <f t="shared" si="6"/>
        <v>4.2366666666666671E-2</v>
      </c>
      <c r="V7" s="7">
        <f t="shared" si="9"/>
        <v>635.50000000000011</v>
      </c>
      <c r="W7" s="3">
        <f>Dati!$D$71</f>
        <v>0.03</v>
      </c>
      <c r="X7">
        <f t="shared" si="10"/>
        <v>450</v>
      </c>
      <c r="Y7" s="9">
        <f t="shared" si="7"/>
        <v>1916.6666666666667</v>
      </c>
      <c r="Z7" s="7">
        <f>G48</f>
        <v>38333.333333333336</v>
      </c>
      <c r="AA7" s="9">
        <f t="shared" si="11"/>
        <v>3002.166666666667</v>
      </c>
      <c r="AB7">
        <f t="shared" si="12"/>
        <v>60043.333333333336</v>
      </c>
    </row>
    <row r="8" spans="2:28" x14ac:dyDescent="0.25">
      <c r="B8" s="4" t="s">
        <v>211</v>
      </c>
      <c r="C8" s="7">
        <f>C48</f>
        <v>59.5</v>
      </c>
      <c r="D8" s="7">
        <f>D48</f>
        <v>435.69079360297252</v>
      </c>
      <c r="E8" s="3">
        <f>F48</f>
        <v>0.13666666666666669</v>
      </c>
      <c r="G8" s="7">
        <f t="shared" si="0"/>
        <v>66.111111111111114</v>
      </c>
      <c r="H8" s="7">
        <f>C8</f>
        <v>59.5</v>
      </c>
      <c r="I8" s="7">
        <f t="shared" si="1"/>
        <v>53.550000000000004</v>
      </c>
      <c r="J8" s="12">
        <f t="shared" si="13"/>
        <v>0.81</v>
      </c>
      <c r="L8" s="7">
        <f>C17*E48</f>
        <v>2050.0000000000005</v>
      </c>
      <c r="M8" s="25">
        <f t="shared" si="2"/>
        <v>2050.0000000000005</v>
      </c>
      <c r="N8" s="25">
        <f t="shared" si="3"/>
        <v>2277.7777777777783</v>
      </c>
      <c r="O8" s="25">
        <f>$C$17*E8*M44</f>
        <v>112.75000000000003</v>
      </c>
      <c r="P8" s="25">
        <f t="shared" si="4"/>
        <v>0</v>
      </c>
      <c r="Q8" s="7">
        <f t="shared" si="8"/>
        <v>112.75000000000003</v>
      </c>
      <c r="R8" s="7">
        <f>M61</f>
        <v>12000</v>
      </c>
      <c r="S8" s="9">
        <f t="shared" si="5"/>
        <v>14.255000000000001</v>
      </c>
      <c r="U8" s="3">
        <f t="shared" si="6"/>
        <v>3.2800000000000003E-2</v>
      </c>
      <c r="V8" s="7">
        <f t="shared" si="9"/>
        <v>492.00000000000006</v>
      </c>
      <c r="W8" s="3">
        <f>Dati!$D$71</f>
        <v>0.03</v>
      </c>
      <c r="X8">
        <f t="shared" si="10"/>
        <v>450</v>
      </c>
      <c r="Y8" s="9">
        <f t="shared" si="7"/>
        <v>1916.6666666666667</v>
      </c>
      <c r="Z8" s="7">
        <f>G48</f>
        <v>38333.333333333336</v>
      </c>
      <c r="AA8" s="9">
        <f t="shared" si="11"/>
        <v>2858.666666666667</v>
      </c>
      <c r="AB8">
        <f t="shared" si="12"/>
        <v>57173.333333333336</v>
      </c>
    </row>
    <row r="9" spans="2:28" x14ac:dyDescent="0.25">
      <c r="B9" s="4" t="s">
        <v>232</v>
      </c>
      <c r="C9" s="7">
        <f>C56</f>
        <v>5.9649999999999999</v>
      </c>
      <c r="D9" s="7">
        <f>D56</f>
        <v>702.36710963455153</v>
      </c>
      <c r="E9" s="3">
        <f>F57</f>
        <v>0.33329999999999999</v>
      </c>
      <c r="G9" s="7">
        <f t="shared" si="0"/>
        <v>284.01921428571427</v>
      </c>
      <c r="H9" s="7">
        <f>C9*Dati!$F$5</f>
        <v>198.81344999999999</v>
      </c>
      <c r="I9" s="7">
        <f t="shared" si="1"/>
        <v>89.466052500000004</v>
      </c>
      <c r="J9" s="12">
        <f t="shared" si="13"/>
        <v>0.31500000000000006</v>
      </c>
      <c r="L9" s="7">
        <f>C17*E57</f>
        <v>150</v>
      </c>
      <c r="M9" s="25">
        <f t="shared" si="2"/>
        <v>4999.5</v>
      </c>
      <c r="N9" s="25">
        <f t="shared" si="3"/>
        <v>7142.1428571428578</v>
      </c>
      <c r="O9" s="25">
        <f>$C$17*E9*M45</f>
        <v>1650</v>
      </c>
      <c r="P9" s="25">
        <f t="shared" si="4"/>
        <v>0</v>
      </c>
      <c r="Q9" s="7">
        <f t="shared" si="8"/>
        <v>1650</v>
      </c>
      <c r="R9" s="7">
        <f>M62</f>
        <v>14000</v>
      </c>
      <c r="S9" s="9">
        <f t="shared" si="5"/>
        <v>47</v>
      </c>
      <c r="U9" s="3">
        <f t="shared" si="6"/>
        <v>0.02</v>
      </c>
      <c r="V9" s="7">
        <f t="shared" si="9"/>
        <v>300</v>
      </c>
      <c r="W9" s="3">
        <f>Dati!$D$72</f>
        <v>5.5000000000000007E-2</v>
      </c>
      <c r="X9">
        <f t="shared" si="10"/>
        <v>825.00000000000011</v>
      </c>
      <c r="Y9" s="9">
        <f t="shared" si="7"/>
        <v>3375</v>
      </c>
      <c r="Z9" s="7">
        <f>G56</f>
        <v>67500</v>
      </c>
      <c r="AA9" s="9">
        <f t="shared" si="11"/>
        <v>4500</v>
      </c>
      <c r="AB9">
        <f t="shared" si="12"/>
        <v>90000</v>
      </c>
    </row>
    <row r="10" spans="2:28" x14ac:dyDescent="0.25">
      <c r="B10" s="4" t="s">
        <v>221</v>
      </c>
      <c r="C10" s="7">
        <f>C56</f>
        <v>5.9649999999999999</v>
      </c>
      <c r="D10" s="7">
        <f>D56</f>
        <v>702.36710963455153</v>
      </c>
      <c r="E10" s="3">
        <f>F57</f>
        <v>0.33329999999999999</v>
      </c>
      <c r="G10" s="7">
        <f t="shared" si="0"/>
        <v>722.95799999999986</v>
      </c>
      <c r="H10" s="7">
        <f>C10*Dati!$F$5</f>
        <v>198.81344999999999</v>
      </c>
      <c r="I10" s="7">
        <f t="shared" si="1"/>
        <v>89.466052500000004</v>
      </c>
      <c r="J10" s="12">
        <f t="shared" si="13"/>
        <v>0.12375000000000003</v>
      </c>
      <c r="L10" s="7">
        <f>C17*E57</f>
        <v>150</v>
      </c>
      <c r="M10" s="25">
        <f t="shared" si="2"/>
        <v>4999.5</v>
      </c>
      <c r="N10" s="25">
        <f t="shared" si="3"/>
        <v>18180</v>
      </c>
      <c r="O10" s="25">
        <f>$C$17*E10*M46</f>
        <v>1935.0000000000002</v>
      </c>
      <c r="P10" s="25">
        <f t="shared" si="4"/>
        <v>0</v>
      </c>
      <c r="Q10" s="7">
        <f t="shared" si="8"/>
        <v>1935.0000000000002</v>
      </c>
      <c r="R10" s="7">
        <f>M62</f>
        <v>14000</v>
      </c>
      <c r="S10" s="9">
        <f t="shared" si="5"/>
        <v>52.70000000000001</v>
      </c>
      <c r="U10" s="3">
        <f t="shared" si="6"/>
        <v>0.19999999999999998</v>
      </c>
      <c r="V10" s="7">
        <f t="shared" si="9"/>
        <v>2999.9999999999995</v>
      </c>
      <c r="W10" s="3">
        <f>Dati!$D$72</f>
        <v>5.5000000000000007E-2</v>
      </c>
      <c r="X10">
        <f t="shared" si="10"/>
        <v>825.00000000000011</v>
      </c>
      <c r="Y10" s="9">
        <f t="shared" si="7"/>
        <v>3375</v>
      </c>
      <c r="Z10" s="7">
        <f>G56</f>
        <v>67500</v>
      </c>
      <c r="AA10" s="9">
        <f t="shared" si="11"/>
        <v>7200</v>
      </c>
      <c r="AB10">
        <f t="shared" si="12"/>
        <v>144000</v>
      </c>
    </row>
    <row r="11" spans="2:28" x14ac:dyDescent="0.25">
      <c r="B11" s="4" t="s">
        <v>220</v>
      </c>
      <c r="C11" s="7">
        <f>C56</f>
        <v>5.9649999999999999</v>
      </c>
      <c r="D11" s="7">
        <f>D56</f>
        <v>702.36710963455153</v>
      </c>
      <c r="E11" s="3">
        <f>F57</f>
        <v>0.33329999999999999</v>
      </c>
      <c r="G11" s="7">
        <f t="shared" si="0"/>
        <v>320.66685483870964</v>
      </c>
      <c r="H11" s="7">
        <f>C11*Dati!$F$5</f>
        <v>198.81344999999999</v>
      </c>
      <c r="I11" s="7">
        <f t="shared" si="1"/>
        <v>89.466052500000004</v>
      </c>
      <c r="J11" s="12">
        <f t="shared" si="13"/>
        <v>0.27900000000000003</v>
      </c>
      <c r="K11" s="20"/>
      <c r="L11" s="7">
        <f>C17*E57</f>
        <v>150</v>
      </c>
      <c r="M11" s="25">
        <f t="shared" si="2"/>
        <v>4999.5</v>
      </c>
      <c r="N11" s="25">
        <f t="shared" si="3"/>
        <v>8063.7096774193551</v>
      </c>
      <c r="O11" s="25">
        <f>$C$17*E11*M47</f>
        <v>450</v>
      </c>
      <c r="P11" s="25">
        <f t="shared" si="4"/>
        <v>0</v>
      </c>
      <c r="Q11" s="7">
        <f t="shared" si="8"/>
        <v>450</v>
      </c>
      <c r="R11" s="26">
        <f>M62</f>
        <v>14000</v>
      </c>
      <c r="S11" s="9">
        <f t="shared" si="5"/>
        <v>23</v>
      </c>
      <c r="U11" s="3">
        <f t="shared" si="6"/>
        <v>0.15</v>
      </c>
      <c r="V11" s="7">
        <f t="shared" si="9"/>
        <v>2250</v>
      </c>
      <c r="W11" s="3">
        <f>Dati!$D$72</f>
        <v>5.5000000000000007E-2</v>
      </c>
      <c r="X11">
        <f t="shared" si="10"/>
        <v>825.00000000000011</v>
      </c>
      <c r="Y11" s="9">
        <f t="shared" si="7"/>
        <v>3375</v>
      </c>
      <c r="Z11" s="7">
        <f>G56</f>
        <v>67500</v>
      </c>
      <c r="AA11" s="9">
        <f t="shared" si="11"/>
        <v>6450</v>
      </c>
      <c r="AB11">
        <f t="shared" si="12"/>
        <v>129000</v>
      </c>
    </row>
    <row r="12" spans="2:28" x14ac:dyDescent="0.25">
      <c r="M12" s="7"/>
    </row>
    <row r="14" spans="2:28" x14ac:dyDescent="0.25">
      <c r="B14" s="4" t="s">
        <v>152</v>
      </c>
      <c r="H14" s="4" t="s">
        <v>390</v>
      </c>
    </row>
    <row r="15" spans="2:28" x14ac:dyDescent="0.25">
      <c r="B15" t="s">
        <v>169</v>
      </c>
      <c r="C15" s="16">
        <f>C16*C17</f>
        <v>300000</v>
      </c>
      <c r="D15" t="s">
        <v>155</v>
      </c>
      <c r="H15" s="22" t="s">
        <v>391</v>
      </c>
    </row>
    <row r="16" spans="2:28" x14ac:dyDescent="0.25">
      <c r="B16" t="s">
        <v>153</v>
      </c>
      <c r="C16" s="16">
        <v>20</v>
      </c>
      <c r="D16" t="s">
        <v>170</v>
      </c>
      <c r="F16" t="s">
        <v>437</v>
      </c>
    </row>
    <row r="17" spans="2:25" x14ac:dyDescent="0.25">
      <c r="B17" t="s">
        <v>154</v>
      </c>
      <c r="C17" s="16">
        <f>D17*100</f>
        <v>15000</v>
      </c>
      <c r="D17">
        <v>150</v>
      </c>
      <c r="F17" t="s">
        <v>444</v>
      </c>
    </row>
    <row r="19" spans="2:25" x14ac:dyDescent="0.25">
      <c r="B19" s="4" t="s">
        <v>151</v>
      </c>
    </row>
    <row r="20" spans="2:25" x14ac:dyDescent="0.25">
      <c r="B20" t="s">
        <v>10</v>
      </c>
      <c r="C20">
        <f>Dati!B12</f>
        <v>1.9</v>
      </c>
      <c r="D20" t="s">
        <v>7</v>
      </c>
      <c r="E20" s="17" t="s">
        <v>156</v>
      </c>
      <c r="F20" s="7">
        <f>Dati!G12</f>
        <v>0.21708083404741502</v>
      </c>
      <c r="G20" t="s">
        <v>9</v>
      </c>
    </row>
    <row r="21" spans="2:25" x14ac:dyDescent="0.25">
      <c r="B21" t="s">
        <v>73</v>
      </c>
      <c r="C21">
        <f>Dati!B13</f>
        <v>1.8</v>
      </c>
      <c r="D21" t="s">
        <v>7</v>
      </c>
      <c r="E21" s="17" t="s">
        <v>156</v>
      </c>
      <c r="F21" s="7">
        <f>Dati!G13</f>
        <v>0.18176126667407178</v>
      </c>
      <c r="G21" t="s">
        <v>9</v>
      </c>
      <c r="I21" s="4" t="s">
        <v>165</v>
      </c>
      <c r="O21">
        <v>0.31</v>
      </c>
      <c r="P21" t="s">
        <v>9</v>
      </c>
    </row>
    <row r="22" spans="2:25" x14ac:dyDescent="0.25">
      <c r="B22" t="s">
        <v>210</v>
      </c>
      <c r="C22">
        <f>Dati!B14</f>
        <v>0.31</v>
      </c>
      <c r="D22" t="s">
        <v>9</v>
      </c>
      <c r="E22" s="17" t="s">
        <v>156</v>
      </c>
      <c r="F22" s="7">
        <f>Dati!G14</f>
        <v>0.31</v>
      </c>
      <c r="G22" t="s">
        <v>9</v>
      </c>
      <c r="I22" s="4" t="s">
        <v>162</v>
      </c>
      <c r="O22">
        <v>0.24</v>
      </c>
      <c r="P22" t="s">
        <v>9</v>
      </c>
    </row>
    <row r="23" spans="2:25" x14ac:dyDescent="0.25">
      <c r="B23" t="s">
        <v>211</v>
      </c>
      <c r="C23">
        <f>Dati!B15</f>
        <v>0.24</v>
      </c>
      <c r="D23" t="s">
        <v>9</v>
      </c>
      <c r="E23" s="17" t="s">
        <v>156</v>
      </c>
      <c r="F23" s="7">
        <f>Dati!G15</f>
        <v>0.24</v>
      </c>
      <c r="G23" t="s">
        <v>9</v>
      </c>
      <c r="I23" s="4" t="s">
        <v>164</v>
      </c>
      <c r="O23">
        <v>0.56000000000000005</v>
      </c>
      <c r="P23" t="s">
        <v>9</v>
      </c>
    </row>
    <row r="24" spans="2:25" x14ac:dyDescent="0.25">
      <c r="B24" t="s">
        <v>24</v>
      </c>
      <c r="C24">
        <f>Dati!B16</f>
        <v>2</v>
      </c>
      <c r="D24" t="s">
        <v>8</v>
      </c>
      <c r="E24" s="17" t="s">
        <v>156</v>
      </c>
      <c r="F24" s="7">
        <f>Dati!G16</f>
        <v>6.0006000600060012E-2</v>
      </c>
      <c r="G24" t="s">
        <v>9</v>
      </c>
    </row>
    <row r="25" spans="2:25" x14ac:dyDescent="0.25">
      <c r="B25" t="s">
        <v>387</v>
      </c>
      <c r="C25">
        <f>Dati!B17</f>
        <v>20</v>
      </c>
      <c r="D25" t="s">
        <v>8</v>
      </c>
      <c r="E25" s="17" t="s">
        <v>156</v>
      </c>
      <c r="F25" s="7">
        <f>Dati!G17</f>
        <v>0.60006000600060005</v>
      </c>
      <c r="G25" t="s">
        <v>9</v>
      </c>
    </row>
    <row r="26" spans="2:25" x14ac:dyDescent="0.25">
      <c r="B26" t="s">
        <v>386</v>
      </c>
      <c r="C26">
        <f>Dati!B18</f>
        <v>15</v>
      </c>
      <c r="D26" t="s">
        <v>8</v>
      </c>
      <c r="E26" s="17" t="s">
        <v>156</v>
      </c>
      <c r="F26" s="7">
        <f>Dati!G18</f>
        <v>0.45004500450045004</v>
      </c>
      <c r="G26" t="s">
        <v>9</v>
      </c>
    </row>
    <row r="27" spans="2:25" x14ac:dyDescent="0.25">
      <c r="C27" s="16"/>
    </row>
    <row r="28" spans="2:25" s="13" customFormat="1" x14ac:dyDescent="0.25"/>
    <row r="31" spans="2:25" x14ac:dyDescent="0.25">
      <c r="B31" s="4" t="s">
        <v>1</v>
      </c>
      <c r="L31" s="4" t="s">
        <v>222</v>
      </c>
      <c r="M31" s="4" t="s">
        <v>294</v>
      </c>
      <c r="N31" s="4" t="s">
        <v>295</v>
      </c>
      <c r="O31" s="4" t="s">
        <v>296</v>
      </c>
      <c r="S31" s="57" t="s">
        <v>167</v>
      </c>
      <c r="T31" s="58"/>
      <c r="U31" s="58"/>
      <c r="V31" s="58"/>
      <c r="W31" s="58"/>
      <c r="Y31" t="s">
        <v>482</v>
      </c>
    </row>
    <row r="32" spans="2:25" x14ac:dyDescent="0.25">
      <c r="B32" s="65" t="s">
        <v>20</v>
      </c>
      <c r="C32" t="s">
        <v>62</v>
      </c>
      <c r="D32" t="s">
        <v>52</v>
      </c>
      <c r="E32" s="63" t="s">
        <v>61</v>
      </c>
      <c r="F32" s="63"/>
      <c r="G32" t="s">
        <v>22</v>
      </c>
      <c r="H32" t="s">
        <v>63</v>
      </c>
      <c r="L32" t="s">
        <v>10</v>
      </c>
      <c r="M32" s="11">
        <f>Dati!Z11</f>
        <v>0.85</v>
      </c>
      <c r="N32" s="11">
        <f>Dati!Z23</f>
        <v>0.25</v>
      </c>
      <c r="O32" s="11">
        <f>M32*N32</f>
        <v>0.21249999999999999</v>
      </c>
      <c r="S32" s="57" t="s">
        <v>251</v>
      </c>
      <c r="T32" s="58" t="s">
        <v>10</v>
      </c>
      <c r="U32" s="58" t="s">
        <v>73</v>
      </c>
      <c r="V32" s="58" t="s">
        <v>331</v>
      </c>
      <c r="W32" s="58" t="s">
        <v>83</v>
      </c>
    </row>
    <row r="33" spans="2:23" x14ac:dyDescent="0.25">
      <c r="B33" s="65"/>
      <c r="C33" t="s">
        <v>46</v>
      </c>
      <c r="D33" t="s">
        <v>3</v>
      </c>
      <c r="E33" t="s">
        <v>121</v>
      </c>
      <c r="F33" t="s">
        <v>123</v>
      </c>
      <c r="G33" t="s">
        <v>122</v>
      </c>
      <c r="L33" t="s">
        <v>73</v>
      </c>
      <c r="M33" s="11">
        <f>Dati!Z12</f>
        <v>0.87</v>
      </c>
      <c r="N33" s="11">
        <f>Dati!Z24</f>
        <v>0.32</v>
      </c>
      <c r="O33" s="11">
        <f>N33*M33</f>
        <v>0.27839999999999998</v>
      </c>
      <c r="S33" s="58" t="s">
        <v>305</v>
      </c>
      <c r="T33" s="58">
        <v>5000</v>
      </c>
      <c r="U33" s="58">
        <v>5500</v>
      </c>
      <c r="V33" s="58">
        <v>2000</v>
      </c>
      <c r="W33" s="58">
        <v>3500</v>
      </c>
    </row>
    <row r="34" spans="2:23" x14ac:dyDescent="0.25">
      <c r="B34" t="s">
        <v>64</v>
      </c>
      <c r="C34">
        <v>50</v>
      </c>
      <c r="D34" s="9">
        <f>C34/E34</f>
        <v>746.26865671641792</v>
      </c>
      <c r="E34">
        <v>6.7000000000000004E-2</v>
      </c>
      <c r="F34" s="3">
        <f>E34*Dati!$G$3</f>
        <v>0.58641750000000004</v>
      </c>
      <c r="G34" s="8">
        <v>25000</v>
      </c>
      <c r="H34" t="s">
        <v>66</v>
      </c>
      <c r="L34" t="s">
        <v>223</v>
      </c>
      <c r="M34" s="11">
        <f>Dati!Z13</f>
        <v>0.5</v>
      </c>
      <c r="N34" s="11">
        <f>Dati!Z25</f>
        <v>0.9</v>
      </c>
      <c r="O34" s="11">
        <f>M34*N34</f>
        <v>0.45</v>
      </c>
      <c r="S34" s="58" t="s">
        <v>310</v>
      </c>
      <c r="T34" s="58">
        <v>1400</v>
      </c>
      <c r="U34" s="58">
        <v>1400</v>
      </c>
      <c r="V34" s="58">
        <v>600</v>
      </c>
      <c r="W34" s="58">
        <v>800</v>
      </c>
    </row>
    <row r="35" spans="2:23" x14ac:dyDescent="0.25">
      <c r="B35" t="s">
        <v>67</v>
      </c>
      <c r="C35">
        <v>54</v>
      </c>
      <c r="D35" s="9">
        <f>C35/E35</f>
        <v>805.97014925373128</v>
      </c>
      <c r="E35">
        <v>6.7000000000000004E-2</v>
      </c>
      <c r="F35" s="3">
        <f>E35*Dati!$G$3</f>
        <v>0.58641750000000004</v>
      </c>
      <c r="G35" s="8">
        <v>33000</v>
      </c>
      <c r="L35" t="s">
        <v>224</v>
      </c>
      <c r="M35" s="11">
        <f>Dati!Z14</f>
        <v>0.9</v>
      </c>
      <c r="N35" s="11">
        <f>Dati!Z25</f>
        <v>0.9</v>
      </c>
      <c r="O35" s="11">
        <f>M35*N35</f>
        <v>0.81</v>
      </c>
      <c r="S35" s="58" t="s">
        <v>314</v>
      </c>
      <c r="T35" s="58" t="s">
        <v>51</v>
      </c>
      <c r="U35" s="58" t="s">
        <v>51</v>
      </c>
      <c r="V35" s="58">
        <v>4000</v>
      </c>
      <c r="W35" s="58"/>
    </row>
    <row r="36" spans="2:23" x14ac:dyDescent="0.25">
      <c r="B36" t="s">
        <v>68</v>
      </c>
      <c r="C36">
        <v>54</v>
      </c>
      <c r="D36" s="9">
        <f>C36/E36</f>
        <v>857.14285714285711</v>
      </c>
      <c r="E36">
        <v>6.3E-2</v>
      </c>
      <c r="F36" s="3">
        <f>E36*Dati!$G$3</f>
        <v>0.55140749999999994</v>
      </c>
      <c r="G36" s="8">
        <v>48000</v>
      </c>
      <c r="L36" t="s">
        <v>225</v>
      </c>
      <c r="M36" s="11">
        <f>Dati!Z15</f>
        <v>0.7</v>
      </c>
      <c r="N36" s="11">
        <f>Dati!Z26</f>
        <v>0.45</v>
      </c>
      <c r="O36" s="11">
        <f>M36*N36</f>
        <v>0.315</v>
      </c>
      <c r="S36" s="58" t="s">
        <v>316</v>
      </c>
      <c r="T36" s="58">
        <v>400</v>
      </c>
      <c r="U36" s="58">
        <v>400</v>
      </c>
      <c r="V36" s="58">
        <v>300</v>
      </c>
      <c r="W36" s="58">
        <v>400</v>
      </c>
    </row>
    <row r="37" spans="2:23" x14ac:dyDescent="0.25">
      <c r="B37" t="s">
        <v>71</v>
      </c>
      <c r="C37">
        <v>65</v>
      </c>
      <c r="D37" s="9">
        <f>C37/E37</f>
        <v>902.77777777777783</v>
      </c>
      <c r="E37">
        <v>7.1999999999999995E-2</v>
      </c>
      <c r="F37" s="3">
        <f>E37*Dati!$G$3</f>
        <v>0.63017999999999996</v>
      </c>
      <c r="G37" s="8">
        <v>58000</v>
      </c>
      <c r="L37" t="s">
        <v>226</v>
      </c>
      <c r="M37" s="11">
        <f>Dati!Z16</f>
        <v>0.27500000000000002</v>
      </c>
      <c r="N37" s="11">
        <f>Dati!Z26</f>
        <v>0.45</v>
      </c>
      <c r="O37" s="11">
        <f>M37*N37</f>
        <v>0.12375000000000001</v>
      </c>
      <c r="S37" s="58" t="s">
        <v>319</v>
      </c>
      <c r="T37" s="58" t="s">
        <v>51</v>
      </c>
      <c r="U37" s="58" t="s">
        <v>51</v>
      </c>
      <c r="V37" s="58" t="s">
        <v>51</v>
      </c>
      <c r="W37" s="58">
        <v>25000</v>
      </c>
    </row>
    <row r="38" spans="2:23" x14ac:dyDescent="0.25">
      <c r="B38" t="s">
        <v>149</v>
      </c>
      <c r="C38">
        <f>AVERAGE(C34:C37)</f>
        <v>55.75</v>
      </c>
      <c r="D38">
        <f t="shared" ref="D38:G38" si="14">AVERAGE(D34:D37)</f>
        <v>828.03986022269612</v>
      </c>
      <c r="E38">
        <f t="shared" si="14"/>
        <v>6.7250000000000004E-2</v>
      </c>
      <c r="F38">
        <f t="shared" si="14"/>
        <v>0.58860562500000002</v>
      </c>
      <c r="G38">
        <f t="shared" si="14"/>
        <v>41000</v>
      </c>
      <c r="L38" t="s">
        <v>227</v>
      </c>
      <c r="M38" s="11">
        <f>Dati!Z17</f>
        <v>0.62</v>
      </c>
      <c r="N38" s="11">
        <f>Dati!Z26</f>
        <v>0.45</v>
      </c>
      <c r="O38" s="11">
        <f>M38*N38</f>
        <v>0.27900000000000003</v>
      </c>
      <c r="S38" s="58" t="s">
        <v>321</v>
      </c>
      <c r="T38" s="58">
        <v>3000</v>
      </c>
      <c r="U38" s="58">
        <f>(2500+5000)/2</f>
        <v>3750</v>
      </c>
      <c r="V38" s="58">
        <v>1000</v>
      </c>
      <c r="W38" s="58">
        <v>1500</v>
      </c>
    </row>
    <row r="39" spans="2:23" x14ac:dyDescent="0.25">
      <c r="S39" s="58" t="s">
        <v>326</v>
      </c>
      <c r="T39" s="59">
        <f>SUM(T33:T38)</f>
        <v>9800</v>
      </c>
      <c r="U39" s="59">
        <f t="shared" ref="U39:W39" si="15">SUM(U33:U38)</f>
        <v>11050</v>
      </c>
      <c r="V39" s="59">
        <f t="shared" si="15"/>
        <v>7900</v>
      </c>
      <c r="W39" s="59">
        <f t="shared" si="15"/>
        <v>31200</v>
      </c>
    </row>
    <row r="40" spans="2:23" x14ac:dyDescent="0.25">
      <c r="B40" s="4" t="s">
        <v>119</v>
      </c>
      <c r="L40" s="4" t="s">
        <v>367</v>
      </c>
    </row>
    <row r="41" spans="2:23" x14ac:dyDescent="0.25">
      <c r="B41" s="65" t="s">
        <v>20</v>
      </c>
      <c r="C41" t="s">
        <v>62</v>
      </c>
      <c r="D41" t="s">
        <v>52</v>
      </c>
      <c r="E41" s="63" t="s">
        <v>61</v>
      </c>
      <c r="F41" s="63"/>
      <c r="G41" t="s">
        <v>22</v>
      </c>
      <c r="H41" t="s">
        <v>63</v>
      </c>
      <c r="L41" t="s">
        <v>10</v>
      </c>
      <c r="M41" s="3">
        <f>Dati!R28</f>
        <v>6.5981148243359045E-2</v>
      </c>
      <c r="N41" t="s">
        <v>209</v>
      </c>
      <c r="P41" s="11">
        <v>0.25</v>
      </c>
      <c r="Q41" t="s">
        <v>204</v>
      </c>
      <c r="R41" t="s">
        <v>201</v>
      </c>
    </row>
    <row r="42" spans="2:23" x14ac:dyDescent="0.25">
      <c r="B42" s="65"/>
      <c r="C42" t="s">
        <v>5</v>
      </c>
      <c r="D42" t="s">
        <v>3</v>
      </c>
      <c r="E42" t="s">
        <v>123</v>
      </c>
      <c r="F42" t="s">
        <v>123</v>
      </c>
      <c r="G42" t="s">
        <v>122</v>
      </c>
      <c r="L42" t="s">
        <v>73</v>
      </c>
      <c r="M42" s="3">
        <f>Dati!R29</f>
        <v>3.9987478668295794E-2</v>
      </c>
      <c r="N42" t="s">
        <v>209</v>
      </c>
      <c r="P42" s="11">
        <v>0.15</v>
      </c>
      <c r="Q42" t="s">
        <v>204</v>
      </c>
      <c r="R42" t="s">
        <v>201</v>
      </c>
      <c r="V42" s="11"/>
    </row>
    <row r="43" spans="2:23" x14ac:dyDescent="0.25">
      <c r="B43" t="s">
        <v>53</v>
      </c>
      <c r="C43">
        <v>60.5</v>
      </c>
      <c r="D43" s="9">
        <f>C43/E43</f>
        <v>426.05633802816908</v>
      </c>
      <c r="E43">
        <v>0.14199999999999999</v>
      </c>
      <c r="F43">
        <f>E43</f>
        <v>0.14199999999999999</v>
      </c>
      <c r="G43" s="8">
        <v>35000</v>
      </c>
      <c r="H43" t="s">
        <v>55</v>
      </c>
      <c r="L43" t="s">
        <v>202</v>
      </c>
      <c r="M43" s="3">
        <f>Dati!R30</f>
        <v>0.215</v>
      </c>
      <c r="N43" t="s">
        <v>204</v>
      </c>
      <c r="V43" s="11"/>
    </row>
    <row r="44" spans="2:23" x14ac:dyDescent="0.25">
      <c r="B44" t="s">
        <v>56</v>
      </c>
      <c r="C44">
        <v>58</v>
      </c>
      <c r="D44" s="9">
        <f>C44/E44</f>
        <v>426.47058823529409</v>
      </c>
      <c r="E44">
        <v>0.13600000000000001</v>
      </c>
      <c r="F44">
        <f t="shared" ref="F44:F47" si="16">E44</f>
        <v>0.13600000000000001</v>
      </c>
      <c r="G44" s="8">
        <v>38000</v>
      </c>
      <c r="L44" t="s">
        <v>203</v>
      </c>
      <c r="M44" s="3">
        <f>Dati!R31</f>
        <v>5.5E-2</v>
      </c>
      <c r="N44" t="s">
        <v>204</v>
      </c>
      <c r="V44" s="11"/>
    </row>
    <row r="45" spans="2:23" x14ac:dyDescent="0.25">
      <c r="B45" t="s">
        <v>57</v>
      </c>
      <c r="C45">
        <v>60</v>
      </c>
      <c r="D45" s="9">
        <f>C45/E45</f>
        <v>454.5454545454545</v>
      </c>
      <c r="E45">
        <v>0.13200000000000001</v>
      </c>
      <c r="F45">
        <f t="shared" si="16"/>
        <v>0.13200000000000001</v>
      </c>
      <c r="G45" s="8">
        <v>42000</v>
      </c>
      <c r="L45" t="s">
        <v>205</v>
      </c>
      <c r="M45" s="3">
        <f>Dati!R32</f>
        <v>0.33003300330033003</v>
      </c>
      <c r="N45" t="s">
        <v>204</v>
      </c>
      <c r="V45" s="11"/>
    </row>
    <row r="46" spans="2:23" x14ac:dyDescent="0.25">
      <c r="B46" t="s">
        <v>58</v>
      </c>
      <c r="C46">
        <v>140</v>
      </c>
      <c r="D46" s="9">
        <f>C46/E46</f>
        <v>903.22580645161293</v>
      </c>
      <c r="E46">
        <v>0.155</v>
      </c>
      <c r="F46">
        <f t="shared" si="16"/>
        <v>0.155</v>
      </c>
      <c r="G46" s="8">
        <v>65000</v>
      </c>
      <c r="H46" t="s">
        <v>59</v>
      </c>
      <c r="L46" t="s">
        <v>334</v>
      </c>
      <c r="M46" s="3">
        <f>Dati!R33</f>
        <v>0.38703870387038708</v>
      </c>
      <c r="N46" t="s">
        <v>204</v>
      </c>
      <c r="O46" s="12"/>
    </row>
    <row r="47" spans="2:23" x14ac:dyDescent="0.25">
      <c r="B47" t="s">
        <v>60</v>
      </c>
      <c r="C47">
        <v>114</v>
      </c>
      <c r="D47" s="9">
        <f>C47/E47</f>
        <v>600</v>
      </c>
      <c r="E47">
        <v>0.19</v>
      </c>
      <c r="F47">
        <f t="shared" si="16"/>
        <v>0.19</v>
      </c>
      <c r="G47" s="8">
        <v>85000</v>
      </c>
      <c r="L47" t="s">
        <v>200</v>
      </c>
      <c r="M47" s="3">
        <f>Dati!R34</f>
        <v>9.0009000900090008E-2</v>
      </c>
      <c r="N47" t="s">
        <v>204</v>
      </c>
      <c r="P47" t="s">
        <v>218</v>
      </c>
      <c r="Q47">
        <v>3</v>
      </c>
      <c r="R47" t="s">
        <v>219</v>
      </c>
    </row>
    <row r="48" spans="2:23" x14ac:dyDescent="0.25">
      <c r="B48" t="s">
        <v>149</v>
      </c>
      <c r="C48">
        <f>AVERAGE(C43:C45)</f>
        <v>59.5</v>
      </c>
      <c r="D48">
        <f t="shared" ref="D48:G48" si="17">AVERAGE(D43:D45)</f>
        <v>435.69079360297252</v>
      </c>
      <c r="E48">
        <f t="shared" si="17"/>
        <v>0.13666666666666669</v>
      </c>
      <c r="F48">
        <f t="shared" si="17"/>
        <v>0.13666666666666669</v>
      </c>
      <c r="G48">
        <f t="shared" si="17"/>
        <v>38333.333333333336</v>
      </c>
    </row>
    <row r="49" spans="2:26" x14ac:dyDescent="0.25">
      <c r="L49" s="4" t="s">
        <v>368</v>
      </c>
      <c r="S49" s="4" t="s">
        <v>424</v>
      </c>
    </row>
    <row r="50" spans="2:26" x14ac:dyDescent="0.25">
      <c r="B50" s="4" t="s">
        <v>83</v>
      </c>
      <c r="L50" t="s">
        <v>10</v>
      </c>
      <c r="M50" s="3">
        <f>Dati!R39</f>
        <v>0.26392459297343618</v>
      </c>
      <c r="N50" t="s">
        <v>209</v>
      </c>
      <c r="S50" s="41" t="s">
        <v>275</v>
      </c>
      <c r="T50" s="41" t="s">
        <v>276</v>
      </c>
      <c r="U50" s="41" t="s">
        <v>392</v>
      </c>
      <c r="V50" s="41" t="s">
        <v>393</v>
      </c>
      <c r="W50" s="41" t="s">
        <v>439</v>
      </c>
      <c r="X50" s="41"/>
      <c r="Y50" s="41"/>
      <c r="Z50" s="41"/>
    </row>
    <row r="51" spans="2:26" x14ac:dyDescent="0.25">
      <c r="B51" s="65" t="s">
        <v>20</v>
      </c>
      <c r="C51" t="s">
        <v>62</v>
      </c>
      <c r="D51" t="s">
        <v>52</v>
      </c>
      <c r="E51" s="63" t="s">
        <v>61</v>
      </c>
      <c r="F51" s="63"/>
      <c r="G51" t="s">
        <v>22</v>
      </c>
      <c r="H51" t="s">
        <v>42</v>
      </c>
      <c r="L51" t="s">
        <v>73</v>
      </c>
      <c r="M51" s="3">
        <f>Dati!R40</f>
        <v>0.26658319112197199</v>
      </c>
      <c r="N51" t="s">
        <v>209</v>
      </c>
      <c r="T51" t="s">
        <v>143</v>
      </c>
      <c r="U51" t="s">
        <v>3</v>
      </c>
      <c r="V51" t="s">
        <v>437</v>
      </c>
      <c r="W51" t="s">
        <v>438</v>
      </c>
    </row>
    <row r="52" spans="2:26" x14ac:dyDescent="0.25">
      <c r="B52" s="65"/>
      <c r="C52" t="s">
        <v>45</v>
      </c>
      <c r="D52" t="s">
        <v>3</v>
      </c>
      <c r="E52" t="s">
        <v>124</v>
      </c>
      <c r="F52" t="s">
        <v>123</v>
      </c>
      <c r="G52" t="s">
        <v>122</v>
      </c>
      <c r="H52" t="s">
        <v>35</v>
      </c>
      <c r="I52" t="s">
        <v>63</v>
      </c>
      <c r="L52" t="s">
        <v>202</v>
      </c>
      <c r="M52">
        <v>0</v>
      </c>
      <c r="N52" t="s">
        <v>204</v>
      </c>
      <c r="S52" t="s">
        <v>269</v>
      </c>
      <c r="T52" t="s">
        <v>10</v>
      </c>
      <c r="U52">
        <v>300000</v>
      </c>
      <c r="V52">
        <v>16</v>
      </c>
      <c r="W52">
        <v>15000</v>
      </c>
      <c r="X52" s="61"/>
      <c r="Y52" s="62"/>
      <c r="Z52" s="61"/>
    </row>
    <row r="53" spans="2:26" x14ac:dyDescent="0.25">
      <c r="B53" t="s">
        <v>84</v>
      </c>
      <c r="C53" t="s">
        <v>85</v>
      </c>
      <c r="D53" t="s">
        <v>85</v>
      </c>
      <c r="E53">
        <v>6.4999999999999997E-3</v>
      </c>
      <c r="F53" s="3">
        <f>E53*Dati!$F$5</f>
        <v>0.21664499999999998</v>
      </c>
      <c r="G53" t="s">
        <v>87</v>
      </c>
      <c r="H53">
        <v>700</v>
      </c>
      <c r="I53" t="s">
        <v>88</v>
      </c>
      <c r="L53" t="s">
        <v>203</v>
      </c>
      <c r="M53">
        <v>0</v>
      </c>
      <c r="N53" t="s">
        <v>204</v>
      </c>
      <c r="T53" t="s">
        <v>73</v>
      </c>
      <c r="U53">
        <f>(450+300)/2*1000</f>
        <v>375000</v>
      </c>
      <c r="V53">
        <v>16</v>
      </c>
      <c r="W53">
        <f>38000/2</f>
        <v>19000</v>
      </c>
      <c r="X53" s="61"/>
      <c r="Y53" s="62"/>
      <c r="Z53" s="61"/>
    </row>
    <row r="54" spans="2:26" x14ac:dyDescent="0.25">
      <c r="B54" t="s">
        <v>89</v>
      </c>
      <c r="C54">
        <v>5.6</v>
      </c>
      <c r="D54" s="9">
        <f>C54/E54</f>
        <v>651.16279069767438</v>
      </c>
      <c r="E54">
        <v>8.6E-3</v>
      </c>
      <c r="F54" s="3">
        <f>E54*Dati!$F$5</f>
        <v>0.286638</v>
      </c>
      <c r="G54" s="8">
        <v>66000</v>
      </c>
      <c r="H54">
        <v>700</v>
      </c>
      <c r="L54" t="s">
        <v>200</v>
      </c>
      <c r="M54">
        <v>0</v>
      </c>
      <c r="N54" t="s">
        <v>204</v>
      </c>
      <c r="T54" t="s">
        <v>95</v>
      </c>
      <c r="U54">
        <f>(400000 + 600000)/2</f>
        <v>500000</v>
      </c>
      <c r="V54">
        <f>35/2</f>
        <v>17.5</v>
      </c>
      <c r="W54">
        <f>35000/2</f>
        <v>17500</v>
      </c>
      <c r="X54" s="61"/>
      <c r="Y54" s="62"/>
      <c r="Z54" s="61"/>
    </row>
    <row r="55" spans="2:26" x14ac:dyDescent="0.25">
      <c r="B55" t="s">
        <v>90</v>
      </c>
      <c r="C55">
        <v>6.33</v>
      </c>
      <c r="D55" s="9">
        <f>C55/E55</f>
        <v>753.57142857142867</v>
      </c>
      <c r="E55">
        <v>8.3999999999999995E-3</v>
      </c>
      <c r="F55" s="3">
        <f>E55*Dati!$F$5</f>
        <v>0.27997199999999994</v>
      </c>
      <c r="G55" s="8">
        <v>69000</v>
      </c>
      <c r="H55">
        <v>700</v>
      </c>
      <c r="L55" s="7"/>
      <c r="M55" s="7"/>
      <c r="N55" s="7"/>
      <c r="O55" s="12"/>
      <c r="T55" t="s">
        <v>83</v>
      </c>
      <c r="U55">
        <f>(300000 + 400000)/2</f>
        <v>350000</v>
      </c>
      <c r="V55">
        <f>27/2</f>
        <v>13.5</v>
      </c>
      <c r="W55">
        <f>35/2*1000</f>
        <v>17500</v>
      </c>
      <c r="X55" s="61"/>
      <c r="Y55" s="62"/>
      <c r="Z55" s="61"/>
    </row>
    <row r="56" spans="2:26" x14ac:dyDescent="0.25">
      <c r="B56" t="s">
        <v>149</v>
      </c>
      <c r="C56">
        <f>AVERAGE(C54:C55)</f>
        <v>5.9649999999999999</v>
      </c>
      <c r="D56">
        <f t="shared" ref="D56:H56" si="18">AVERAGE(D54:D55)</f>
        <v>702.36710963455153</v>
      </c>
      <c r="E56">
        <f t="shared" si="18"/>
        <v>8.5000000000000006E-3</v>
      </c>
      <c r="F56">
        <f t="shared" si="18"/>
        <v>0.28330499999999997</v>
      </c>
      <c r="G56">
        <f t="shared" si="18"/>
        <v>67500</v>
      </c>
      <c r="H56">
        <f t="shared" si="18"/>
        <v>700</v>
      </c>
      <c r="T56" t="s">
        <v>149</v>
      </c>
      <c r="U56">
        <f>AVERAGE(U52:U55)</f>
        <v>381250</v>
      </c>
      <c r="V56">
        <f t="shared" ref="V56:W56" si="19">AVERAGE(V52:V55)</f>
        <v>15.75</v>
      </c>
      <c r="W56">
        <f t="shared" si="19"/>
        <v>17250</v>
      </c>
    </row>
    <row r="57" spans="2:26" x14ac:dyDescent="0.25">
      <c r="E57">
        <v>0.01</v>
      </c>
      <c r="F57">
        <f>E57*33.33</f>
        <v>0.33329999999999999</v>
      </c>
      <c r="L57" s="4" t="s">
        <v>382</v>
      </c>
    </row>
    <row r="58" spans="2:26" x14ac:dyDescent="0.25">
      <c r="L58" s="4" t="s">
        <v>336</v>
      </c>
      <c r="M58" t="s">
        <v>49</v>
      </c>
    </row>
    <row r="59" spans="2:26" x14ac:dyDescent="0.25">
      <c r="B59" s="4" t="s">
        <v>73</v>
      </c>
      <c r="C59" t="s">
        <v>62</v>
      </c>
      <c r="D59" t="s">
        <v>52</v>
      </c>
      <c r="E59" s="63" t="s">
        <v>61</v>
      </c>
      <c r="F59" s="63"/>
      <c r="G59" t="s">
        <v>22</v>
      </c>
      <c r="L59" t="s">
        <v>10</v>
      </c>
      <c r="M59">
        <v>6000</v>
      </c>
    </row>
    <row r="60" spans="2:26" x14ac:dyDescent="0.25">
      <c r="B60" t="s">
        <v>20</v>
      </c>
      <c r="C60" t="s">
        <v>46</v>
      </c>
      <c r="D60" t="s">
        <v>3</v>
      </c>
      <c r="E60" t="s">
        <v>293</v>
      </c>
      <c r="F60" t="s">
        <v>123</v>
      </c>
      <c r="G60" t="s">
        <v>122</v>
      </c>
      <c r="L60" t="s">
        <v>73</v>
      </c>
      <c r="M60">
        <v>6000</v>
      </c>
    </row>
    <row r="61" spans="2:26" x14ac:dyDescent="0.25">
      <c r="B61" t="s">
        <v>74</v>
      </c>
      <c r="C61">
        <v>75</v>
      </c>
      <c r="D61">
        <v>1200</v>
      </c>
      <c r="E61">
        <v>6.3</v>
      </c>
      <c r="F61" s="3">
        <f>E61/100*Dati!$G$4</f>
        <v>0.62389529999999993</v>
      </c>
      <c r="G61" s="8">
        <v>35000</v>
      </c>
      <c r="H61" t="s">
        <v>77</v>
      </c>
      <c r="L61" t="s">
        <v>147</v>
      </c>
      <c r="M61">
        <v>12000</v>
      </c>
    </row>
    <row r="62" spans="2:26" x14ac:dyDescent="0.25">
      <c r="B62" t="s">
        <v>67</v>
      </c>
      <c r="C62">
        <v>50</v>
      </c>
      <c r="D62">
        <v>1000</v>
      </c>
      <c r="E62">
        <v>5</v>
      </c>
      <c r="F62" s="3">
        <f>E62/100*Dati!$G$4</f>
        <v>0.49515499999999996</v>
      </c>
      <c r="G62" s="8">
        <v>35000</v>
      </c>
      <c r="L62" t="s">
        <v>148</v>
      </c>
      <c r="M62">
        <v>14000</v>
      </c>
    </row>
    <row r="63" spans="2:26" x14ac:dyDescent="0.25">
      <c r="B63" t="s">
        <v>68</v>
      </c>
      <c r="C63">
        <v>54</v>
      </c>
      <c r="D63">
        <v>1100</v>
      </c>
      <c r="E63">
        <v>4.9000000000000004</v>
      </c>
      <c r="F63" s="3">
        <f>E63/100*Dati!$G$4</f>
        <v>0.48525189999999996</v>
      </c>
      <c r="G63" s="8">
        <v>50000</v>
      </c>
    </row>
    <row r="64" spans="2:26" x14ac:dyDescent="0.25">
      <c r="B64" t="s">
        <v>71</v>
      </c>
      <c r="C64">
        <v>65</v>
      </c>
      <c r="D64">
        <v>1200</v>
      </c>
      <c r="E64">
        <v>5.4</v>
      </c>
      <c r="F64" s="3">
        <f>E64/100*Dati!$G$4</f>
        <v>0.5347674</v>
      </c>
      <c r="G64" s="8">
        <v>60000</v>
      </c>
    </row>
    <row r="65" spans="2:7" x14ac:dyDescent="0.25">
      <c r="B65" t="s">
        <v>149</v>
      </c>
      <c r="C65">
        <f>AVERAGE(C61:C64)</f>
        <v>61</v>
      </c>
      <c r="D65">
        <f t="shared" ref="D65:G65" si="20">AVERAGE(D61:D64)</f>
        <v>1125</v>
      </c>
      <c r="E65">
        <f t="shared" si="20"/>
        <v>5.4</v>
      </c>
      <c r="F65" s="3">
        <f t="shared" si="20"/>
        <v>0.5347674</v>
      </c>
      <c r="G65">
        <f t="shared" si="20"/>
        <v>45000</v>
      </c>
    </row>
  </sheetData>
  <mergeCells count="19">
    <mergeCell ref="E59:F59"/>
    <mergeCell ref="B41:B42"/>
    <mergeCell ref="B51:B52"/>
    <mergeCell ref="E32:F32"/>
    <mergeCell ref="E41:F41"/>
    <mergeCell ref="E51:F51"/>
    <mergeCell ref="C2:E2"/>
    <mergeCell ref="G2:J2"/>
    <mergeCell ref="U2:AB2"/>
    <mergeCell ref="B32:B33"/>
    <mergeCell ref="L2:S2"/>
    <mergeCell ref="AA3:AB3"/>
    <mergeCell ref="O3:P3"/>
    <mergeCell ref="X52:X55"/>
    <mergeCell ref="Y52:Y55"/>
    <mergeCell ref="Z52:Z55"/>
    <mergeCell ref="U3:V3"/>
    <mergeCell ref="W3:X3"/>
    <mergeCell ref="Y3:Z3"/>
  </mergeCells>
  <conditionalFormatting sqref="E5:E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K6 Q4 K7 K11 J7:J11 S4:T4 V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Q4 V4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6" r:id="rId4" name="Scroll Bar 8">
              <controlPr defaultSize="0" autoPict="0">
                <anchor moveWithCells="1">
                  <from>
                    <xdr:col>3</xdr:col>
                    <xdr:colOff>9525</xdr:colOff>
                    <xdr:row>16</xdr:row>
                    <xdr:rowOff>19050</xdr:rowOff>
                  </from>
                  <to>
                    <xdr:col>5</xdr:col>
                    <xdr:colOff>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5" name="Scroll Bar 11">
              <controlPr defaultSize="0" autoPict="0">
                <anchor moveWithCells="1">
                  <from>
                    <xdr:col>3</xdr:col>
                    <xdr:colOff>0</xdr:colOff>
                    <xdr:row>15</xdr:row>
                    <xdr:rowOff>9525</xdr:rowOff>
                  </from>
                  <to>
                    <xdr:col>4</xdr:col>
                    <xdr:colOff>600075</xdr:colOff>
                    <xdr:row>15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5E3-BFF0-49C0-A286-CEB171B6D96F}">
  <dimension ref="B1:AB62"/>
  <sheetViews>
    <sheetView zoomScale="80" zoomScaleNormal="80" workbookViewId="0">
      <selection activeCell="M8" sqref="M8"/>
    </sheetView>
  </sheetViews>
  <sheetFormatPr defaultRowHeight="15" x14ac:dyDescent="0.25"/>
  <cols>
    <col min="1" max="1" width="3" customWidth="1"/>
    <col min="2" max="2" width="18.85546875" bestFit="1" customWidth="1"/>
    <col min="3" max="3" width="9.5703125" bestFit="1" customWidth="1"/>
    <col min="12" max="12" width="9.5703125" bestFit="1" customWidth="1"/>
    <col min="13" max="13" width="9.5703125" customWidth="1"/>
    <col min="14" max="14" width="12.140625" customWidth="1"/>
    <col min="15" max="15" width="11.140625" customWidth="1"/>
    <col min="16" max="16" width="9.5703125" bestFit="1" customWidth="1"/>
    <col min="18" max="19" width="9.5703125" bestFit="1" customWidth="1"/>
    <col min="20" max="20" width="16.28515625" customWidth="1"/>
    <col min="21" max="22" width="9.5703125" bestFit="1" customWidth="1"/>
    <col min="26" max="26" width="9.5703125" bestFit="1" customWidth="1"/>
    <col min="27" max="27" width="8.7109375" bestFit="1" customWidth="1"/>
  </cols>
  <sheetData>
    <row r="1" spans="2:28" ht="8.25" customHeight="1" x14ac:dyDescent="0.25"/>
    <row r="2" spans="2:28" x14ac:dyDescent="0.25">
      <c r="C2" s="64" t="s">
        <v>214</v>
      </c>
      <c r="D2" s="64"/>
      <c r="E2" s="64"/>
      <c r="G2" s="64" t="s">
        <v>446</v>
      </c>
      <c r="H2" s="64"/>
      <c r="I2" s="64"/>
      <c r="J2" s="64"/>
      <c r="L2" s="64" t="s">
        <v>215</v>
      </c>
      <c r="M2" s="64"/>
      <c r="N2" s="64"/>
      <c r="O2" s="64"/>
      <c r="P2" s="64"/>
      <c r="Q2" s="64"/>
      <c r="R2" s="64"/>
      <c r="S2" s="64"/>
      <c r="T2" s="4"/>
      <c r="U2" s="64" t="s">
        <v>216</v>
      </c>
      <c r="V2" s="64"/>
      <c r="W2" s="64"/>
      <c r="X2" s="64"/>
      <c r="Y2" s="64"/>
      <c r="Z2" s="64"/>
      <c r="AA2" s="64"/>
      <c r="AB2" s="64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6" t="s">
        <v>483</v>
      </c>
      <c r="P3" s="66"/>
      <c r="Q3" t="s">
        <v>385</v>
      </c>
      <c r="R3" s="2" t="s">
        <v>364</v>
      </c>
      <c r="S3" s="2" t="s">
        <v>484</v>
      </c>
      <c r="U3" s="63" t="s">
        <v>388</v>
      </c>
      <c r="V3" s="63"/>
      <c r="W3" s="63" t="s">
        <v>389</v>
      </c>
      <c r="X3" s="63"/>
      <c r="Y3" s="63" t="s">
        <v>166</v>
      </c>
      <c r="Z3" s="63"/>
      <c r="AA3" s="63" t="s">
        <v>485</v>
      </c>
      <c r="AB3" s="63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866.66666666666663</v>
      </c>
      <c r="D5" s="7">
        <f>H5/E5</f>
        <v>2626.2626262626259</v>
      </c>
      <c r="E5" s="3">
        <f>F34</f>
        <v>3.2680229999999995</v>
      </c>
      <c r="G5" s="7">
        <f>H5/N29</f>
        <v>9865.1570881226035</v>
      </c>
      <c r="H5" s="7">
        <f>C5*Dati!G4</f>
        <v>8582.6866666666647</v>
      </c>
      <c r="I5" s="7">
        <f>H5*O29</f>
        <v>3433.074666666666</v>
      </c>
      <c r="J5" s="12">
        <f>I5/G5</f>
        <v>0.34799999999999998</v>
      </c>
      <c r="K5" s="12"/>
      <c r="L5" s="9">
        <f>C16*E34</f>
        <v>56100</v>
      </c>
      <c r="M5" s="25">
        <f t="shared" ref="M5:M10" si="0">$C$16*E5</f>
        <v>555563.90999999992</v>
      </c>
      <c r="N5" s="25">
        <f>M5/N29</f>
        <v>638579.20689655165</v>
      </c>
      <c r="O5" s="25">
        <f>M5*N37</f>
        <v>22215.600000000002</v>
      </c>
      <c r="P5" s="25">
        <f>M5*N45</f>
        <v>148104.00000000003</v>
      </c>
      <c r="Q5" s="7">
        <f>(O5+P5)/1000</f>
        <v>170.31960000000004</v>
      </c>
      <c r="R5" s="25">
        <f>N52</f>
        <v>60000</v>
      </c>
      <c r="S5" s="9">
        <f t="shared" ref="S5:S10" si="1">(R5+(P5+O5)*$C$15)/1000</f>
        <v>1252.2372000000003</v>
      </c>
      <c r="U5" s="3">
        <f>F19*E5</f>
        <v>0.59399999999999997</v>
      </c>
      <c r="V5" s="9">
        <f>U5*$C$16</f>
        <v>100980</v>
      </c>
      <c r="W5" s="3">
        <f>Dati!D73</f>
        <v>0.25</v>
      </c>
      <c r="X5">
        <f>W5*$C$16</f>
        <v>42500</v>
      </c>
      <c r="Y5" s="9">
        <f>Z5/$C$15</f>
        <v>16428.571428571428</v>
      </c>
      <c r="Z5" s="7">
        <f>G34</f>
        <v>115000</v>
      </c>
      <c r="AA5" s="9">
        <f>AB5/$C$15</f>
        <v>159908.57142857142</v>
      </c>
      <c r="AB5" s="15">
        <f>((X5+V5)*$C$15+Z5)</f>
        <v>1119360</v>
      </c>
    </row>
    <row r="6" spans="2:28" x14ac:dyDescent="0.25">
      <c r="B6" s="4" t="s">
        <v>210</v>
      </c>
      <c r="C6" s="7">
        <f>C44</f>
        <v>519</v>
      </c>
      <c r="D6" s="7">
        <f t="shared" ref="D6:D10" si="2">H6/E6</f>
        <v>330.04769475357716</v>
      </c>
      <c r="E6" s="3">
        <f>F44</f>
        <v>1.5724999999999998</v>
      </c>
      <c r="G6" s="7">
        <f t="shared" ref="G6:G10" si="3">H6/N30</f>
        <v>1038</v>
      </c>
      <c r="H6" s="7">
        <f>C6</f>
        <v>519</v>
      </c>
      <c r="I6" s="7">
        <f t="shared" ref="I6:I10" si="4">H6*O30</f>
        <v>441.15</v>
      </c>
      <c r="J6" s="12">
        <f t="shared" ref="J6:J10" si="5">I6/G6</f>
        <v>0.42499999999999999</v>
      </c>
      <c r="K6" s="20"/>
      <c r="L6" s="9">
        <f>$C$16*$F$44</f>
        <v>267324.99999999994</v>
      </c>
      <c r="M6" s="25">
        <f t="shared" si="0"/>
        <v>267324.99999999994</v>
      </c>
      <c r="N6" s="25">
        <f t="shared" ref="N6:N10" si="6">M6/N30</f>
        <v>534649.99999999988</v>
      </c>
      <c r="O6" s="25">
        <f t="shared" ref="O6:O10" si="7">M6*N38</f>
        <v>57474.874999999985</v>
      </c>
      <c r="P6" s="25">
        <v>0</v>
      </c>
      <c r="Q6" s="7">
        <f t="shared" ref="Q6:Q10" si="8">(O6+P6)/1000</f>
        <v>57.474874999999983</v>
      </c>
      <c r="R6" s="25">
        <f>N53</f>
        <v>110000</v>
      </c>
      <c r="S6" s="9">
        <f t="shared" si="1"/>
        <v>512.32412499999987</v>
      </c>
      <c r="U6" s="3">
        <f t="shared" ref="U6:U10" si="9">F20*E6</f>
        <v>0.48747499999999994</v>
      </c>
      <c r="V6" s="9">
        <f t="shared" ref="V6:V10" si="10">U6*$C$16</f>
        <v>82870.749999999985</v>
      </c>
      <c r="W6" s="3">
        <f>Dati!$D$74</f>
        <v>0.14000000000000001</v>
      </c>
      <c r="X6">
        <f t="shared" ref="X6:X10" si="11">W6*$C$16</f>
        <v>23800.000000000004</v>
      </c>
      <c r="Y6" s="9">
        <f t="shared" ref="Y6:Y10" si="12">Z6/$C$15</f>
        <v>35000</v>
      </c>
      <c r="Z6" s="7">
        <f>$G$44</f>
        <v>245000</v>
      </c>
      <c r="AA6" s="9">
        <f t="shared" ref="AA6:AA10" si="13">AB6/$C$15</f>
        <v>141670.74999999997</v>
      </c>
      <c r="AB6" s="15">
        <f t="shared" ref="AB6:AB10" si="14">((X6+V6)*$C$15+Z6)</f>
        <v>991695.24999999988</v>
      </c>
    </row>
    <row r="7" spans="2:28" x14ac:dyDescent="0.25">
      <c r="B7" s="4" t="s">
        <v>211</v>
      </c>
      <c r="C7" s="7">
        <f>C44</f>
        <v>519</v>
      </c>
      <c r="D7" s="7">
        <f t="shared" si="2"/>
        <v>330.04769475357716</v>
      </c>
      <c r="E7" s="3">
        <f>F44</f>
        <v>1.5724999999999998</v>
      </c>
      <c r="G7" s="7">
        <f t="shared" si="3"/>
        <v>576.66666666666663</v>
      </c>
      <c r="H7" s="7">
        <f>C7</f>
        <v>519</v>
      </c>
      <c r="I7" s="7">
        <f t="shared" si="4"/>
        <v>441.15</v>
      </c>
      <c r="J7" s="12">
        <f t="shared" si="5"/>
        <v>0.76500000000000001</v>
      </c>
      <c r="L7" s="9">
        <f>$C$16*$F$44</f>
        <v>267324.99999999994</v>
      </c>
      <c r="M7" s="25">
        <f t="shared" si="0"/>
        <v>267324.99999999994</v>
      </c>
      <c r="N7" s="25">
        <f t="shared" si="6"/>
        <v>297027.77777777769</v>
      </c>
      <c r="O7" s="25">
        <f t="shared" si="7"/>
        <v>14702.874999999996</v>
      </c>
      <c r="P7" s="25">
        <v>0</v>
      </c>
      <c r="Q7" s="7">
        <f t="shared" si="8"/>
        <v>14.702874999999997</v>
      </c>
      <c r="R7" s="7">
        <f>N53</f>
        <v>110000</v>
      </c>
      <c r="S7" s="9">
        <f t="shared" si="1"/>
        <v>212.92012499999998</v>
      </c>
      <c r="U7" s="3">
        <f t="shared" si="9"/>
        <v>0.37739999999999996</v>
      </c>
      <c r="V7" s="9">
        <f t="shared" si="10"/>
        <v>64157.999999999993</v>
      </c>
      <c r="W7" s="3">
        <f>Dati!$D$74</f>
        <v>0.14000000000000001</v>
      </c>
      <c r="X7">
        <f t="shared" si="11"/>
        <v>23800.000000000004</v>
      </c>
      <c r="Y7" s="9">
        <f t="shared" si="12"/>
        <v>35000</v>
      </c>
      <c r="Z7" s="7">
        <f>$G$44</f>
        <v>245000</v>
      </c>
      <c r="AA7" s="9">
        <f t="shared" si="13"/>
        <v>122958</v>
      </c>
      <c r="AB7" s="15">
        <f t="shared" si="14"/>
        <v>860706</v>
      </c>
    </row>
    <row r="8" spans="2:28" x14ac:dyDescent="0.25">
      <c r="B8" s="4" t="s">
        <v>232</v>
      </c>
      <c r="C8" s="7">
        <f>C52</f>
        <v>50.333333333333336</v>
      </c>
      <c r="D8" s="7">
        <f t="shared" si="2"/>
        <v>598.01980198019805</v>
      </c>
      <c r="E8" s="3">
        <f>F52</f>
        <v>2.8052749999999995</v>
      </c>
      <c r="G8" s="7">
        <f t="shared" si="3"/>
        <v>2396.5857142857144</v>
      </c>
      <c r="H8" s="7">
        <f>C8*Dati!$F$5</f>
        <v>1677.61</v>
      </c>
      <c r="I8" s="7">
        <f t="shared" si="4"/>
        <v>721.3723</v>
      </c>
      <c r="J8" s="12">
        <f t="shared" si="5"/>
        <v>0.30099999999999999</v>
      </c>
      <c r="L8" s="9">
        <f>$C$16*$E$52</f>
        <v>14308.33333333333</v>
      </c>
      <c r="M8" s="25">
        <f t="shared" si="0"/>
        <v>476896.74999999994</v>
      </c>
      <c r="N8" s="25">
        <f t="shared" si="6"/>
        <v>681281.07142857136</v>
      </c>
      <c r="O8" s="25">
        <f t="shared" si="7"/>
        <v>157391.66666666666</v>
      </c>
      <c r="P8" s="25">
        <f>$C$16*E8*M49</f>
        <v>0</v>
      </c>
      <c r="Q8" s="7">
        <f t="shared" si="8"/>
        <v>157.39166666666665</v>
      </c>
      <c r="R8" s="7">
        <f>N54</f>
        <v>125000</v>
      </c>
      <c r="S8" s="9">
        <f t="shared" si="1"/>
        <v>1226.7416666666666</v>
      </c>
      <c r="U8" s="3">
        <f t="shared" si="9"/>
        <v>0.16833333333333333</v>
      </c>
      <c r="V8" s="9">
        <f t="shared" si="10"/>
        <v>28616.666666666668</v>
      </c>
      <c r="W8" s="3">
        <f>Dati!$D$75</f>
        <v>0.2</v>
      </c>
      <c r="X8">
        <f t="shared" si="11"/>
        <v>34000</v>
      </c>
      <c r="Y8" s="9">
        <f t="shared" si="12"/>
        <v>57142.857142857145</v>
      </c>
      <c r="Z8" s="7">
        <f>$G$52</f>
        <v>400000</v>
      </c>
      <c r="AA8" s="9">
        <f t="shared" si="13"/>
        <v>119759.52380952382</v>
      </c>
      <c r="AB8" s="15">
        <f t="shared" si="14"/>
        <v>838316.66666666674</v>
      </c>
    </row>
    <row r="9" spans="2:28" x14ac:dyDescent="0.25">
      <c r="B9" s="4" t="s">
        <v>221</v>
      </c>
      <c r="C9" s="7">
        <f>C52</f>
        <v>50.333333333333336</v>
      </c>
      <c r="D9" s="7">
        <f t="shared" si="2"/>
        <v>598.01980198019805</v>
      </c>
      <c r="E9" s="3">
        <f>F52</f>
        <v>2.8052749999999995</v>
      </c>
      <c r="G9" s="7">
        <f t="shared" si="3"/>
        <v>6100.3999999999987</v>
      </c>
      <c r="H9" s="7">
        <f>C9*Dati!$F$5</f>
        <v>1677.61</v>
      </c>
      <c r="I9" s="7">
        <f t="shared" si="4"/>
        <v>721.3723</v>
      </c>
      <c r="J9" s="12">
        <f t="shared" si="5"/>
        <v>0.11825000000000002</v>
      </c>
      <c r="L9" s="9">
        <f t="shared" ref="L9:L10" si="15">$C$16*$E$52</f>
        <v>14308.33333333333</v>
      </c>
      <c r="M9" s="25">
        <f t="shared" si="0"/>
        <v>476896.74999999994</v>
      </c>
      <c r="N9" s="25">
        <f t="shared" si="6"/>
        <v>1734169.9999999995</v>
      </c>
      <c r="O9" s="25">
        <f t="shared" si="7"/>
        <v>184577.5</v>
      </c>
      <c r="P9" s="25">
        <v>0</v>
      </c>
      <c r="Q9" s="7">
        <f t="shared" si="8"/>
        <v>184.57749999999999</v>
      </c>
      <c r="R9" s="7">
        <f>N54</f>
        <v>125000</v>
      </c>
      <c r="S9" s="9">
        <f t="shared" si="1"/>
        <v>1417.0425</v>
      </c>
      <c r="U9" s="3">
        <f t="shared" si="9"/>
        <v>1.6833333333333331</v>
      </c>
      <c r="V9" s="9">
        <f t="shared" si="10"/>
        <v>286166.66666666663</v>
      </c>
      <c r="W9" s="3">
        <f>Dati!$D$75</f>
        <v>0.2</v>
      </c>
      <c r="X9">
        <f t="shared" si="11"/>
        <v>34000</v>
      </c>
      <c r="Y9" s="9">
        <f t="shared" si="12"/>
        <v>57142.857142857145</v>
      </c>
      <c r="Z9" s="7">
        <f t="shared" ref="Z9:Z10" si="16">$G$52</f>
        <v>400000</v>
      </c>
      <c r="AA9" s="9">
        <f t="shared" si="13"/>
        <v>377309.52380952379</v>
      </c>
      <c r="AB9" s="15">
        <f t="shared" si="14"/>
        <v>2641166.6666666665</v>
      </c>
    </row>
    <row r="10" spans="2:28" x14ac:dyDescent="0.25">
      <c r="B10" s="4" t="s">
        <v>220</v>
      </c>
      <c r="C10" s="7">
        <f>C52</f>
        <v>50.333333333333336</v>
      </c>
      <c r="D10" s="7">
        <f t="shared" si="2"/>
        <v>598.01980198019805</v>
      </c>
      <c r="E10" s="3">
        <f>F52</f>
        <v>2.8052749999999995</v>
      </c>
      <c r="G10" s="7">
        <f t="shared" si="3"/>
        <v>2705.822580645161</v>
      </c>
      <c r="H10" s="7">
        <f>C10*Dati!$F$5</f>
        <v>1677.61</v>
      </c>
      <c r="I10" s="7">
        <f t="shared" si="4"/>
        <v>721.3723</v>
      </c>
      <c r="J10" s="12">
        <f t="shared" si="5"/>
        <v>0.2666</v>
      </c>
      <c r="K10" s="20"/>
      <c r="L10" s="9">
        <f t="shared" si="15"/>
        <v>14308.33333333333</v>
      </c>
      <c r="M10" s="25">
        <f t="shared" si="0"/>
        <v>476896.74999999994</v>
      </c>
      <c r="N10" s="25">
        <f t="shared" si="6"/>
        <v>769188.30645161285</v>
      </c>
      <c r="O10" s="25">
        <f t="shared" si="7"/>
        <v>42924.999999999993</v>
      </c>
      <c r="P10" s="25">
        <v>0</v>
      </c>
      <c r="Q10" s="7">
        <f t="shared" si="8"/>
        <v>42.92499999999999</v>
      </c>
      <c r="R10" s="26">
        <f>N54</f>
        <v>125000</v>
      </c>
      <c r="S10" s="9">
        <f t="shared" si="1"/>
        <v>425.47499999999997</v>
      </c>
      <c r="U10" s="3">
        <f t="shared" si="9"/>
        <v>1.2624999999999997</v>
      </c>
      <c r="V10" s="9">
        <f t="shared" si="10"/>
        <v>214624.99999999994</v>
      </c>
      <c r="W10" s="3">
        <f>Dati!$D$75</f>
        <v>0.2</v>
      </c>
      <c r="X10">
        <f t="shared" si="11"/>
        <v>34000</v>
      </c>
      <c r="Y10" s="9">
        <f t="shared" si="12"/>
        <v>57142.857142857145</v>
      </c>
      <c r="Z10" s="7">
        <f t="shared" si="16"/>
        <v>400000</v>
      </c>
      <c r="AA10" s="9">
        <f t="shared" si="13"/>
        <v>305767.8571428571</v>
      </c>
      <c r="AB10" s="15">
        <f t="shared" si="14"/>
        <v>2140374.9999999995</v>
      </c>
    </row>
    <row r="11" spans="2:28" x14ac:dyDescent="0.25">
      <c r="M11" s="7"/>
      <c r="U11" s="3"/>
      <c r="V11" s="7"/>
      <c r="W11" s="3"/>
      <c r="Y11" s="9"/>
      <c r="Z11" s="7"/>
      <c r="AA11" s="9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1190000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v>7</v>
      </c>
      <c r="D15" t="s">
        <v>170</v>
      </c>
      <c r="F15" t="s">
        <v>437</v>
      </c>
    </row>
    <row r="16" spans="2:28" x14ac:dyDescent="0.25">
      <c r="B16" t="s">
        <v>154</v>
      </c>
      <c r="C16" s="16">
        <f>D16*100</f>
        <v>170000</v>
      </c>
      <c r="D16">
        <v>1700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5" t="s">
        <v>20</v>
      </c>
      <c r="C29" t="s">
        <v>62</v>
      </c>
      <c r="D29" t="s">
        <v>52</v>
      </c>
      <c r="E29" s="63" t="s">
        <v>61</v>
      </c>
      <c r="F29" s="63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Dati!AA24</f>
        <v>0.4</v>
      </c>
      <c r="P29" s="11">
        <f>N29*O29</f>
        <v>0.34800000000000003</v>
      </c>
      <c r="T29" s="4"/>
    </row>
    <row r="30" spans="2:20" x14ac:dyDescent="0.25">
      <c r="B30" s="65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Dati!AA25</f>
        <v>0.85</v>
      </c>
      <c r="P30" s="11">
        <f t="shared" ref="P30:P34" si="17">N30*O30</f>
        <v>0.42499999999999999</v>
      </c>
    </row>
    <row r="31" spans="2:20" x14ac:dyDescent="0.25">
      <c r="B31" t="s">
        <v>91</v>
      </c>
      <c r="C31">
        <v>1000</v>
      </c>
      <c r="D31" s="9">
        <f>C31/E31</f>
        <v>3030.30303030303</v>
      </c>
      <c r="E31">
        <v>0.33</v>
      </c>
      <c r="F31" s="7">
        <f>E31*Dati!$G$4</f>
        <v>3.2680229999999995</v>
      </c>
      <c r="G31" s="8">
        <v>80000</v>
      </c>
      <c r="H31" t="s">
        <v>92</v>
      </c>
      <c r="M31" t="s">
        <v>224</v>
      </c>
      <c r="N31" s="11">
        <f>Dati!Z14</f>
        <v>0.9</v>
      </c>
      <c r="O31" s="11">
        <f>Dati!AA25</f>
        <v>0.85</v>
      </c>
      <c r="P31" s="11">
        <f t="shared" si="17"/>
        <v>0.76500000000000001</v>
      </c>
    </row>
    <row r="32" spans="2:20" x14ac:dyDescent="0.25">
      <c r="B32" t="s">
        <v>93</v>
      </c>
      <c r="C32">
        <v>800</v>
      </c>
      <c r="D32" s="9">
        <f t="shared" ref="D32:D33" si="18">C32/E32</f>
        <v>2424.242424242424</v>
      </c>
      <c r="E32">
        <v>0.33</v>
      </c>
      <c r="F32" s="7">
        <f>E32*Dati!$G$4</f>
        <v>3.2680229999999995</v>
      </c>
      <c r="G32" s="8">
        <v>130000</v>
      </c>
      <c r="M32" t="s">
        <v>225</v>
      </c>
      <c r="N32" s="11">
        <f>Dati!Z15</f>
        <v>0.7</v>
      </c>
      <c r="O32" s="11">
        <f>Dati!AA26</f>
        <v>0.43</v>
      </c>
      <c r="P32" s="11">
        <f t="shared" si="17"/>
        <v>0.30099999999999999</v>
      </c>
    </row>
    <row r="33" spans="2:24" x14ac:dyDescent="0.25">
      <c r="B33" t="s">
        <v>94</v>
      </c>
      <c r="C33">
        <v>800</v>
      </c>
      <c r="D33" s="9">
        <f t="shared" si="18"/>
        <v>2424.242424242424</v>
      </c>
      <c r="E33">
        <v>0.33</v>
      </c>
      <c r="F33" s="7">
        <f>E33*Dati!$G$4</f>
        <v>3.2680229999999995</v>
      </c>
      <c r="G33" s="8">
        <v>135000</v>
      </c>
      <c r="M33" t="s">
        <v>226</v>
      </c>
      <c r="N33" s="11">
        <f>Dati!Z16</f>
        <v>0.27500000000000002</v>
      </c>
      <c r="O33" s="11">
        <f>Dati!AA26</f>
        <v>0.43</v>
      </c>
      <c r="P33" s="11">
        <f t="shared" si="17"/>
        <v>0.11825000000000001</v>
      </c>
    </row>
    <row r="34" spans="2:24" x14ac:dyDescent="0.25">
      <c r="B34" t="s">
        <v>149</v>
      </c>
      <c r="C34" s="15">
        <f>AVERAGE(C31:C33)</f>
        <v>866.66666666666663</v>
      </c>
      <c r="D34">
        <f t="shared" ref="D34:G34" si="19">AVERAGE(D31:D33)</f>
        <v>2626.2626262626259</v>
      </c>
      <c r="E34">
        <f t="shared" si="19"/>
        <v>0.33</v>
      </c>
      <c r="F34" s="7">
        <f t="shared" si="19"/>
        <v>3.2680229999999995</v>
      </c>
      <c r="G34">
        <f t="shared" si="19"/>
        <v>115000</v>
      </c>
      <c r="M34" t="s">
        <v>227</v>
      </c>
      <c r="N34" s="11">
        <f>Dati!Z17</f>
        <v>0.62</v>
      </c>
      <c r="O34" s="11">
        <f>Dati!AA26</f>
        <v>0.43</v>
      </c>
      <c r="P34" s="11">
        <f t="shared" si="17"/>
        <v>0.2666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5" t="s">
        <v>20</v>
      </c>
      <c r="C38" t="s">
        <v>62</v>
      </c>
      <c r="D38" t="s">
        <v>52</v>
      </c>
      <c r="E38" s="63" t="s">
        <v>61</v>
      </c>
      <c r="F38" s="63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5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100</v>
      </c>
      <c r="C40">
        <v>350</v>
      </c>
      <c r="D40">
        <f>C40/E40</f>
        <v>200</v>
      </c>
      <c r="E40">
        <v>1.75</v>
      </c>
      <c r="F40">
        <f>E40</f>
        <v>1.75</v>
      </c>
      <c r="G40" s="8">
        <v>180000</v>
      </c>
      <c r="H40" t="s">
        <v>96</v>
      </c>
      <c r="M40" t="s">
        <v>205</v>
      </c>
      <c r="N40" s="3">
        <f>Dati!R32</f>
        <v>0.33003300330033003</v>
      </c>
      <c r="O40" t="s">
        <v>204</v>
      </c>
      <c r="W40" s="11"/>
    </row>
    <row r="41" spans="2:24" x14ac:dyDescent="0.25">
      <c r="B41" t="s">
        <v>97</v>
      </c>
      <c r="C41">
        <v>336</v>
      </c>
      <c r="D41">
        <f t="shared" ref="D41:D43" si="20">C41/E41</f>
        <v>200</v>
      </c>
      <c r="E41">
        <v>1.68</v>
      </c>
      <c r="F41">
        <f t="shared" ref="F41:F43" si="21">E41</f>
        <v>1.68</v>
      </c>
      <c r="G41" s="8">
        <v>250000</v>
      </c>
      <c r="M41" t="s">
        <v>334</v>
      </c>
      <c r="N41" s="3">
        <f>Dati!R33</f>
        <v>0.38703870387038708</v>
      </c>
      <c r="O41" t="s">
        <v>204</v>
      </c>
      <c r="P41" s="12"/>
      <c r="W41" s="11"/>
    </row>
    <row r="42" spans="2:24" x14ac:dyDescent="0.25">
      <c r="B42" t="s">
        <v>98</v>
      </c>
      <c r="C42">
        <v>540</v>
      </c>
      <c r="D42">
        <f t="shared" si="20"/>
        <v>300</v>
      </c>
      <c r="E42">
        <v>1.8</v>
      </c>
      <c r="F42">
        <f t="shared" si="21"/>
        <v>1.8</v>
      </c>
      <c r="G42" s="8">
        <v>300000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W42" s="11"/>
    </row>
    <row r="43" spans="2:24" x14ac:dyDescent="0.25">
      <c r="B43" t="s">
        <v>99</v>
      </c>
      <c r="C43">
        <v>850</v>
      </c>
      <c r="D43" s="9">
        <f t="shared" si="20"/>
        <v>801.88679245283015</v>
      </c>
      <c r="E43">
        <v>1.06</v>
      </c>
      <c r="F43">
        <f t="shared" si="21"/>
        <v>1.06</v>
      </c>
      <c r="G43" s="8">
        <v>250000</v>
      </c>
    </row>
    <row r="44" spans="2:24" x14ac:dyDescent="0.25">
      <c r="B44" t="s">
        <v>149</v>
      </c>
      <c r="C44">
        <f>AVERAGE(C40:C43)</f>
        <v>519</v>
      </c>
      <c r="D44" s="7">
        <f t="shared" ref="D44:G44" si="22">AVERAGE(D40:D43)</f>
        <v>375.47169811320754</v>
      </c>
      <c r="E44" s="7">
        <f t="shared" si="22"/>
        <v>1.5724999999999998</v>
      </c>
      <c r="F44" s="7">
        <f t="shared" si="22"/>
        <v>1.5724999999999998</v>
      </c>
      <c r="G44">
        <f t="shared" si="22"/>
        <v>245000</v>
      </c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B46" s="4" t="s">
        <v>83</v>
      </c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65" t="s">
        <v>20</v>
      </c>
      <c r="C47" t="s">
        <v>62</v>
      </c>
      <c r="D47" t="s">
        <v>52</v>
      </c>
      <c r="E47" s="63" t="s">
        <v>61</v>
      </c>
      <c r="F47" s="63"/>
      <c r="G47" t="s">
        <v>22</v>
      </c>
      <c r="H47" t="s">
        <v>42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5"/>
      <c r="C48" t="s">
        <v>45</v>
      </c>
      <c r="D48" t="s">
        <v>3</v>
      </c>
      <c r="E48" t="s">
        <v>124</v>
      </c>
      <c r="F48" t="s">
        <v>123</v>
      </c>
      <c r="G48" t="s">
        <v>122</v>
      </c>
      <c r="H48" t="s">
        <v>35</v>
      </c>
      <c r="I48" t="s">
        <v>63</v>
      </c>
      <c r="M48" t="s">
        <v>200</v>
      </c>
      <c r="N48">
        <v>0</v>
      </c>
      <c r="O48" t="s">
        <v>204</v>
      </c>
      <c r="T48" t="s">
        <v>396</v>
      </c>
      <c r="U48" t="s">
        <v>73</v>
      </c>
      <c r="V48">
        <f>(1200000 +1600000)/2</f>
        <v>1400000</v>
      </c>
      <c r="W48">
        <f>13/2</f>
        <v>6.5</v>
      </c>
      <c r="X48">
        <v>200000</v>
      </c>
    </row>
    <row r="49" spans="2:27" x14ac:dyDescent="0.25">
      <c r="B49" t="s">
        <v>101</v>
      </c>
      <c r="C49">
        <v>50</v>
      </c>
      <c r="D49" s="9">
        <f>C49/E49</f>
        <v>555.55555555555554</v>
      </c>
      <c r="E49">
        <v>0.09</v>
      </c>
      <c r="F49" s="7">
        <f>E49*Dati!$F$5</f>
        <v>2.9996999999999998</v>
      </c>
      <c r="G49" s="8">
        <v>350000</v>
      </c>
      <c r="H49" t="s">
        <v>102</v>
      </c>
      <c r="I49" t="s">
        <v>103</v>
      </c>
      <c r="M49" s="7"/>
      <c r="N49" s="7"/>
      <c r="O49" s="7"/>
      <c r="P49" s="12"/>
      <c r="U49" t="s">
        <v>95</v>
      </c>
      <c r="V49">
        <f>(1000000 + 1500000)/2</f>
        <v>1250000</v>
      </c>
      <c r="W49">
        <f>17/2</f>
        <v>8.5</v>
      </c>
      <c r="X49">
        <f>(120000 +200000 )/2</f>
        <v>160000</v>
      </c>
      <c r="Y49" s="14"/>
      <c r="Z49" s="43"/>
      <c r="AA49" s="44"/>
    </row>
    <row r="50" spans="2:27" x14ac:dyDescent="0.25">
      <c r="B50" t="s">
        <v>104</v>
      </c>
      <c r="C50">
        <v>31</v>
      </c>
      <c r="D50" s="9">
        <f t="shared" ref="D50:D51" si="23">C50/E50</f>
        <v>413.33333333333337</v>
      </c>
      <c r="E50">
        <v>7.4999999999999997E-2</v>
      </c>
      <c r="F50" s="7">
        <f>E50*Dati!$F$5</f>
        <v>2.4997499999999997</v>
      </c>
      <c r="G50" s="8">
        <v>450000</v>
      </c>
      <c r="H50" t="s">
        <v>102</v>
      </c>
      <c r="M50" s="4" t="s">
        <v>382</v>
      </c>
      <c r="U50" t="s">
        <v>83</v>
      </c>
      <c r="V50">
        <f>(800000 + 1200000 )/2</f>
        <v>1000000</v>
      </c>
      <c r="W50">
        <f>13/2</f>
        <v>6.5</v>
      </c>
      <c r="X50">
        <f>(120000 + 200000)/2</f>
        <v>160000</v>
      </c>
      <c r="Y50" s="14"/>
      <c r="Z50" s="43"/>
      <c r="AA50" s="44"/>
    </row>
    <row r="51" spans="2:27" x14ac:dyDescent="0.25">
      <c r="B51" t="s">
        <v>105</v>
      </c>
      <c r="C51">
        <v>70</v>
      </c>
      <c r="D51" s="9">
        <f t="shared" si="23"/>
        <v>800</v>
      </c>
      <c r="E51">
        <v>8.7499999999999994E-2</v>
      </c>
      <c r="F51" s="7">
        <f>E51*Dati!$F$5</f>
        <v>2.9163749999999995</v>
      </c>
      <c r="G51" s="8">
        <v>400000</v>
      </c>
      <c r="H51" t="s">
        <v>86</v>
      </c>
      <c r="M51" s="4" t="s">
        <v>336</v>
      </c>
      <c r="N51" t="s">
        <v>50</v>
      </c>
      <c r="U51" t="s">
        <v>149</v>
      </c>
      <c r="V51" s="14">
        <f>AVERAGE(V48:V50)</f>
        <v>1216666.6666666667</v>
      </c>
      <c r="W51" s="43">
        <f>AVERAGE(W48:W50)</f>
        <v>7.166666666666667</v>
      </c>
      <c r="X51" s="44">
        <f>AVERAGE(X48:X50)</f>
        <v>173333.33333333334</v>
      </c>
    </row>
    <row r="52" spans="2:27" x14ac:dyDescent="0.25">
      <c r="B52" t="s">
        <v>149</v>
      </c>
      <c r="C52" s="15">
        <f>AVERAGE(C49:C51)</f>
        <v>50.333333333333336</v>
      </c>
      <c r="D52" s="9">
        <f t="shared" ref="D52:G52" si="24">AVERAGE(D49:D51)</f>
        <v>589.62962962962968</v>
      </c>
      <c r="E52" s="3">
        <f t="shared" si="24"/>
        <v>8.4166666666666654E-2</v>
      </c>
      <c r="F52" s="7">
        <f t="shared" si="24"/>
        <v>2.8052749999999995</v>
      </c>
      <c r="G52">
        <f t="shared" si="24"/>
        <v>400000</v>
      </c>
      <c r="M52" t="s">
        <v>73</v>
      </c>
      <c r="N52">
        <f>Dati!P49</f>
        <v>60000</v>
      </c>
    </row>
    <row r="53" spans="2:27" x14ac:dyDescent="0.25">
      <c r="M53" t="s">
        <v>147</v>
      </c>
      <c r="N53">
        <f>Dati!P50</f>
        <v>110000</v>
      </c>
    </row>
    <row r="54" spans="2:27" x14ac:dyDescent="0.25">
      <c r="M54" t="s">
        <v>148</v>
      </c>
      <c r="N54">
        <f>Dati!P51</f>
        <v>125000</v>
      </c>
    </row>
    <row r="55" spans="2:27" x14ac:dyDescent="0.25">
      <c r="B55" s="4"/>
    </row>
    <row r="56" spans="2:27" x14ac:dyDescent="0.25">
      <c r="C56" s="3"/>
    </row>
    <row r="57" spans="2:27" x14ac:dyDescent="0.25">
      <c r="C57" s="3"/>
    </row>
    <row r="61" spans="2:27" x14ac:dyDescent="0.25">
      <c r="C61" s="11"/>
    </row>
    <row r="62" spans="2:27" x14ac:dyDescent="0.25">
      <c r="C62" s="11"/>
    </row>
  </sheetData>
  <mergeCells count="15">
    <mergeCell ref="B38:B39"/>
    <mergeCell ref="B47:B48"/>
    <mergeCell ref="E29:F29"/>
    <mergeCell ref="E38:F38"/>
    <mergeCell ref="E47:F47"/>
    <mergeCell ref="C2:E2"/>
    <mergeCell ref="G2:J2"/>
    <mergeCell ref="B29:B30"/>
    <mergeCell ref="L2:S2"/>
    <mergeCell ref="U2:AB2"/>
    <mergeCell ref="O3:P3"/>
    <mergeCell ref="U3:V3"/>
    <mergeCell ref="W3:X3"/>
    <mergeCell ref="Y3:Z3"/>
    <mergeCell ref="AA3:AB3"/>
  </mergeCells>
  <conditionalFormatting sqref="E5:E10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12" r:id="rId3" name="Scroll Bar 20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4" name="Scroll Bar 21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5" name="Scroll Bar 22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6" name="Scroll Bar 23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DD74-ABB4-462E-A9C3-E9CFBA4E6A08}">
  <dimension ref="B1:AB63"/>
  <sheetViews>
    <sheetView topLeftCell="B1" workbookViewId="0">
      <selection activeCell="L7" sqref="L7"/>
    </sheetView>
  </sheetViews>
  <sheetFormatPr defaultRowHeight="15" x14ac:dyDescent="0.25"/>
  <cols>
    <col min="1" max="1" width="2.5703125" customWidth="1"/>
    <col min="2" max="2" width="22.28515625" customWidth="1"/>
    <col min="12" max="12" width="9.5703125" bestFit="1" customWidth="1"/>
    <col min="13" max="13" width="11.42578125" customWidth="1"/>
    <col min="14" max="14" width="9.5703125" bestFit="1" customWidth="1"/>
    <col min="26" max="26" width="9.5703125" bestFit="1" customWidth="1"/>
  </cols>
  <sheetData>
    <row r="1" spans="2:28" ht="6.75" customHeight="1" x14ac:dyDescent="0.25"/>
    <row r="2" spans="2:28" x14ac:dyDescent="0.25">
      <c r="C2" s="64" t="s">
        <v>214</v>
      </c>
      <c r="D2" s="64"/>
      <c r="E2" s="64"/>
      <c r="G2" s="64" t="s">
        <v>446</v>
      </c>
      <c r="H2" s="64"/>
      <c r="I2" s="64"/>
      <c r="J2" s="64"/>
      <c r="L2" s="64" t="s">
        <v>215</v>
      </c>
      <c r="M2" s="64"/>
      <c r="N2" s="64"/>
      <c r="O2" s="64"/>
      <c r="P2" s="64"/>
      <c r="Q2" s="64"/>
      <c r="R2" s="64"/>
      <c r="S2" s="64"/>
      <c r="T2" s="4"/>
      <c r="U2" s="64" t="s">
        <v>216</v>
      </c>
      <c r="V2" s="64"/>
      <c r="W2" s="64"/>
      <c r="X2" s="64"/>
      <c r="Y2" s="64"/>
      <c r="Z2" s="64"/>
      <c r="AA2" s="64"/>
      <c r="AB2" s="64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6" t="s">
        <v>483</v>
      </c>
      <c r="P3" s="66"/>
      <c r="Q3" t="s">
        <v>385</v>
      </c>
      <c r="R3" s="2" t="s">
        <v>364</v>
      </c>
      <c r="S3" s="2" t="s">
        <v>484</v>
      </c>
      <c r="U3" s="63" t="s">
        <v>388</v>
      </c>
      <c r="V3" s="63"/>
      <c r="W3" s="63" t="s">
        <v>389</v>
      </c>
      <c r="X3" s="63"/>
      <c r="Y3" s="63" t="s">
        <v>166</v>
      </c>
      <c r="Z3" s="63"/>
      <c r="AA3" s="63" t="s">
        <v>485</v>
      </c>
      <c r="AB3" s="63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295</v>
      </c>
      <c r="D5" s="7">
        <f>H5/E5</f>
        <v>762.93103448275861</v>
      </c>
      <c r="E5" s="3">
        <f>F34</f>
        <v>3.8291986666666662</v>
      </c>
      <c r="G5" s="7">
        <f t="shared" ref="G5:G10" si="0">H5/N29</f>
        <v>3357.9477011494246</v>
      </c>
      <c r="H5" s="7">
        <f>C5*Dati!G4</f>
        <v>2921.4144999999994</v>
      </c>
      <c r="I5" s="7">
        <f t="shared" ref="I5:I10" si="1">H5*O29</f>
        <v>876.42434999999978</v>
      </c>
      <c r="J5" s="12">
        <f>I5/G5</f>
        <v>0.26100000000000001</v>
      </c>
      <c r="K5" s="12"/>
      <c r="L5" s="9">
        <f>C16*E34</f>
        <v>27066.666666666672</v>
      </c>
      <c r="M5" s="25">
        <f t="shared" ref="M5:M10" si="2">$C$16*E5</f>
        <v>268043.90666666662</v>
      </c>
      <c r="N5" s="25">
        <f>M5/N29</f>
        <v>308096.44444444438</v>
      </c>
      <c r="O5" s="25">
        <f>M5*N37</f>
        <v>10718.4</v>
      </c>
      <c r="P5" s="25">
        <f>M5*N45</f>
        <v>71456.000000000015</v>
      </c>
      <c r="Q5" s="7">
        <f>(O5+P5)/1000</f>
        <v>82.174400000000006</v>
      </c>
      <c r="R5" s="25">
        <f>N53</f>
        <v>50000</v>
      </c>
      <c r="S5" s="9">
        <f t="shared" ref="S5:S10" si="3">(R5+(P5+O5)*$C$15)/1000</f>
        <v>1118.2672000000002</v>
      </c>
      <c r="U5" s="3">
        <f>F19*E5</f>
        <v>0.69599999999999995</v>
      </c>
      <c r="V5" s="9">
        <f>U5*$C$16</f>
        <v>48720</v>
      </c>
      <c r="W5" s="3">
        <f>Dati!$D$76</f>
        <v>0.32500000000000001</v>
      </c>
      <c r="X5">
        <f>W5*$C$16</f>
        <v>22750</v>
      </c>
      <c r="Y5" s="9">
        <f>Z5/$C$15</f>
        <v>16410.25641025641</v>
      </c>
      <c r="Z5" s="7">
        <f>G34</f>
        <v>213333.33333333334</v>
      </c>
      <c r="AA5" s="9">
        <f>AB5/$C$15</f>
        <v>87880.256410256407</v>
      </c>
      <c r="AB5" s="15">
        <f>((X5+V5)*$C$15+Z5)</f>
        <v>1142443.3333333333</v>
      </c>
    </row>
    <row r="6" spans="2:28" x14ac:dyDescent="0.25">
      <c r="B6" s="4" t="s">
        <v>210</v>
      </c>
      <c r="C6" s="7">
        <f>C44</f>
        <v>347.5</v>
      </c>
      <c r="D6" s="7">
        <f t="shared" ref="D6:D10" si="4">H6/E6</f>
        <v>207.15350223546946</v>
      </c>
      <c r="E6" s="3">
        <f>$F$44</f>
        <v>1.6775</v>
      </c>
      <c r="G6" s="7">
        <f t="shared" si="0"/>
        <v>695</v>
      </c>
      <c r="H6" s="7">
        <f>C6</f>
        <v>347.5</v>
      </c>
      <c r="I6" s="7">
        <f t="shared" si="1"/>
        <v>278</v>
      </c>
      <c r="J6" s="12">
        <f t="shared" ref="J6:J10" si="5">I6/G6</f>
        <v>0.4</v>
      </c>
      <c r="K6" s="20"/>
      <c r="L6" s="9">
        <f>$C$16*$F$43</f>
        <v>161000</v>
      </c>
      <c r="M6" s="25">
        <f t="shared" si="2"/>
        <v>117425</v>
      </c>
      <c r="N6" s="25">
        <f t="shared" ref="N6:N10" si="6">M6/N30</f>
        <v>234850</v>
      </c>
      <c r="O6" s="25">
        <f t="shared" ref="O6:O10" si="7">M6*N38</f>
        <v>25246.375</v>
      </c>
      <c r="P6" s="25">
        <v>0</v>
      </c>
      <c r="Q6" s="7">
        <f t="shared" ref="Q6:Q10" si="8">(O6+P6)/1000</f>
        <v>25.246375</v>
      </c>
      <c r="R6" s="25">
        <f>$N$54</f>
        <v>85000</v>
      </c>
      <c r="S6" s="9">
        <f t="shared" si="3"/>
        <v>413.20287500000001</v>
      </c>
      <c r="U6" s="3">
        <f t="shared" ref="U6:U10" si="9">F20*E6</f>
        <v>0.52002499999999996</v>
      </c>
      <c r="V6" s="9">
        <f t="shared" ref="V6:V10" si="10">U6*$C$16</f>
        <v>36401.75</v>
      </c>
      <c r="W6" s="3">
        <f>Dati!$D$77</f>
        <v>0.16</v>
      </c>
      <c r="X6">
        <f t="shared" ref="X6:X10" si="11">W6*$C$16</f>
        <v>11200</v>
      </c>
      <c r="Y6" s="9">
        <f t="shared" ref="Y6:Y10" si="12">Z6/$C$15</f>
        <v>30576.923076923078</v>
      </c>
      <c r="Z6" s="7">
        <f>$G$44</f>
        <v>397500</v>
      </c>
      <c r="AA6" s="9">
        <f t="shared" ref="AA6:AA10" si="13">AB6/$C$15</f>
        <v>78178.673076923078</v>
      </c>
      <c r="AB6" s="15">
        <f t="shared" ref="AB6:AB10" si="14">((X6+V6)*$C$15+Z6)</f>
        <v>1016322.75</v>
      </c>
    </row>
    <row r="7" spans="2:28" x14ac:dyDescent="0.25">
      <c r="B7" s="4" t="s">
        <v>211</v>
      </c>
      <c r="C7" s="7">
        <f>C44</f>
        <v>347.5</v>
      </c>
      <c r="D7" s="7">
        <f t="shared" si="4"/>
        <v>207.15350223546946</v>
      </c>
      <c r="E7" s="3">
        <f>$F$44</f>
        <v>1.6775</v>
      </c>
      <c r="G7" s="7">
        <f t="shared" si="0"/>
        <v>386.11111111111109</v>
      </c>
      <c r="H7" s="7">
        <f>C7</f>
        <v>347.5</v>
      </c>
      <c r="I7" s="7">
        <f t="shared" si="1"/>
        <v>278</v>
      </c>
      <c r="J7" s="12">
        <f t="shared" si="5"/>
        <v>0.72000000000000008</v>
      </c>
      <c r="L7" s="9">
        <f>$C$16*$F$43</f>
        <v>161000</v>
      </c>
      <c r="M7" s="25">
        <f t="shared" si="2"/>
        <v>117425</v>
      </c>
      <c r="N7" s="25">
        <f t="shared" si="6"/>
        <v>130472.22222222222</v>
      </c>
      <c r="O7" s="25">
        <f t="shared" si="7"/>
        <v>6458.375</v>
      </c>
      <c r="P7" s="25">
        <v>0</v>
      </c>
      <c r="Q7" s="7">
        <f t="shared" si="8"/>
        <v>6.4583750000000002</v>
      </c>
      <c r="R7" s="25">
        <f>$N$54</f>
        <v>85000</v>
      </c>
      <c r="S7" s="9">
        <f t="shared" si="3"/>
        <v>168.95887500000001</v>
      </c>
      <c r="U7" s="3">
        <f t="shared" si="9"/>
        <v>0.40259999999999996</v>
      </c>
      <c r="V7" s="9">
        <f t="shared" si="10"/>
        <v>28181.999999999996</v>
      </c>
      <c r="W7" s="3">
        <f>Dati!$D$77</f>
        <v>0.16</v>
      </c>
      <c r="X7">
        <f t="shared" si="11"/>
        <v>11200</v>
      </c>
      <c r="Y7" s="9">
        <f t="shared" si="12"/>
        <v>30576.923076923078</v>
      </c>
      <c r="Z7" s="7">
        <f>$G$44</f>
        <v>397500</v>
      </c>
      <c r="AA7" s="9">
        <f t="shared" si="13"/>
        <v>69958.923076923078</v>
      </c>
      <c r="AB7" s="15">
        <f t="shared" si="14"/>
        <v>909466</v>
      </c>
    </row>
    <row r="8" spans="2:28" x14ac:dyDescent="0.25">
      <c r="B8" s="4" t="s">
        <v>232</v>
      </c>
      <c r="C8" s="7">
        <f>$C$53</f>
        <v>34.166666666666664</v>
      </c>
      <c r="D8" s="7">
        <f t="shared" si="4"/>
        <v>354.67128027681656</v>
      </c>
      <c r="E8" s="3">
        <f>$F$53</f>
        <v>3.2107899999999998</v>
      </c>
      <c r="G8" s="7">
        <f t="shared" si="0"/>
        <v>1626.8214285714284</v>
      </c>
      <c r="H8" s="7">
        <f>C8*Dati!$F$5</f>
        <v>1138.7749999999999</v>
      </c>
      <c r="I8" s="7">
        <f t="shared" si="1"/>
        <v>569.38749999999993</v>
      </c>
      <c r="J8" s="12">
        <f t="shared" si="5"/>
        <v>0.35</v>
      </c>
      <c r="L8" s="9">
        <f>$C$16*$E$53</f>
        <v>6743.3333333333339</v>
      </c>
      <c r="M8" s="25">
        <f t="shared" si="2"/>
        <v>224755.3</v>
      </c>
      <c r="N8" s="25">
        <f t="shared" si="6"/>
        <v>321079</v>
      </c>
      <c r="O8" s="25">
        <f t="shared" si="7"/>
        <v>74176.666666666657</v>
      </c>
      <c r="P8" s="25">
        <v>0</v>
      </c>
      <c r="Q8" s="7">
        <f t="shared" si="8"/>
        <v>74.176666666666662</v>
      </c>
      <c r="R8" s="7">
        <f>$N$55</f>
        <v>95000</v>
      </c>
      <c r="S8" s="9">
        <f t="shared" si="3"/>
        <v>1059.2966666666666</v>
      </c>
      <c r="U8" s="3">
        <f t="shared" si="9"/>
        <v>0.19266666666666668</v>
      </c>
      <c r="V8" s="9">
        <f t="shared" si="10"/>
        <v>13486.666666666668</v>
      </c>
      <c r="W8" s="3">
        <f>Dati!$D$78</f>
        <v>0.27500000000000002</v>
      </c>
      <c r="X8">
        <f t="shared" si="11"/>
        <v>19250</v>
      </c>
      <c r="Y8" s="9">
        <f t="shared" si="12"/>
        <v>43589.743589743586</v>
      </c>
      <c r="Z8" s="7">
        <f>$G$53</f>
        <v>566666.66666666663</v>
      </c>
      <c r="AA8" s="9">
        <f t="shared" si="13"/>
        <v>76326.41025641025</v>
      </c>
      <c r="AB8" s="15">
        <f t="shared" si="14"/>
        <v>992243.33333333326</v>
      </c>
    </row>
    <row r="9" spans="2:28" x14ac:dyDescent="0.25">
      <c r="B9" s="4" t="s">
        <v>221</v>
      </c>
      <c r="C9" s="7">
        <f>$C$53</f>
        <v>34.166666666666664</v>
      </c>
      <c r="D9" s="7">
        <f t="shared" si="4"/>
        <v>354.67128027681656</v>
      </c>
      <c r="E9" s="3">
        <f>$F$53</f>
        <v>3.2107899999999998</v>
      </c>
      <c r="G9" s="7">
        <f t="shared" si="0"/>
        <v>4140.9999999999991</v>
      </c>
      <c r="H9" s="7">
        <f>C9*Dati!$F$5</f>
        <v>1138.7749999999999</v>
      </c>
      <c r="I9" s="7">
        <f t="shared" si="1"/>
        <v>569.38749999999993</v>
      </c>
      <c r="J9" s="12">
        <f t="shared" si="5"/>
        <v>0.13750000000000001</v>
      </c>
      <c r="L9" s="9">
        <f t="shared" ref="L9:L10" si="15">$C$16*$E$53</f>
        <v>6743.3333333333339</v>
      </c>
      <c r="M9" s="25">
        <f t="shared" si="2"/>
        <v>224755.3</v>
      </c>
      <c r="N9" s="25">
        <f t="shared" si="6"/>
        <v>817291.99999999988</v>
      </c>
      <c r="O9" s="25">
        <f t="shared" si="7"/>
        <v>86989</v>
      </c>
      <c r="P9" s="25">
        <v>0</v>
      </c>
      <c r="Q9" s="7">
        <f t="shared" si="8"/>
        <v>86.989000000000004</v>
      </c>
      <c r="R9" s="7">
        <f t="shared" ref="R9:R10" si="16">$N$55</f>
        <v>95000</v>
      </c>
      <c r="S9" s="9">
        <f t="shared" si="3"/>
        <v>1225.857</v>
      </c>
      <c r="U9" s="3">
        <f t="shared" si="9"/>
        <v>1.9266666666666665</v>
      </c>
      <c r="V9" s="9">
        <f t="shared" si="10"/>
        <v>134866.66666666666</v>
      </c>
      <c r="W9" s="3">
        <f>Dati!$D$78</f>
        <v>0.27500000000000002</v>
      </c>
      <c r="X9">
        <f t="shared" si="11"/>
        <v>19250</v>
      </c>
      <c r="Y9" s="9">
        <f t="shared" si="12"/>
        <v>43589.743589743586</v>
      </c>
      <c r="Z9" s="7">
        <f t="shared" ref="Z9:Z10" si="17">$G$53</f>
        <v>566666.66666666663</v>
      </c>
      <c r="AA9" s="9">
        <f t="shared" si="13"/>
        <v>197706.41025641022</v>
      </c>
      <c r="AB9" s="15">
        <f t="shared" si="14"/>
        <v>2570183.333333333</v>
      </c>
    </row>
    <row r="10" spans="2:28" x14ac:dyDescent="0.25">
      <c r="B10" s="4" t="s">
        <v>220</v>
      </c>
      <c r="C10" s="7">
        <f>$C$53</f>
        <v>34.166666666666664</v>
      </c>
      <c r="D10" s="7">
        <f t="shared" si="4"/>
        <v>354.67128027681656</v>
      </c>
      <c r="E10" s="3">
        <f>$F$53</f>
        <v>3.2107899999999998</v>
      </c>
      <c r="G10" s="7">
        <f t="shared" si="0"/>
        <v>1836.7338709677417</v>
      </c>
      <c r="H10" s="7">
        <f>C10*Dati!$F$5</f>
        <v>1138.7749999999999</v>
      </c>
      <c r="I10" s="7">
        <f t="shared" si="1"/>
        <v>569.38749999999993</v>
      </c>
      <c r="J10" s="12">
        <f t="shared" si="5"/>
        <v>0.31</v>
      </c>
      <c r="K10" s="20"/>
      <c r="L10" s="9">
        <f t="shared" si="15"/>
        <v>6743.3333333333339</v>
      </c>
      <c r="M10" s="25">
        <f t="shared" si="2"/>
        <v>224755.3</v>
      </c>
      <c r="N10" s="25">
        <f t="shared" si="6"/>
        <v>362508.54838709673</v>
      </c>
      <c r="O10" s="25">
        <f t="shared" si="7"/>
        <v>20230</v>
      </c>
      <c r="P10" s="25">
        <v>0</v>
      </c>
      <c r="Q10" s="7">
        <f t="shared" si="8"/>
        <v>20.23</v>
      </c>
      <c r="R10" s="7">
        <f t="shared" si="16"/>
        <v>95000</v>
      </c>
      <c r="S10" s="9">
        <f t="shared" si="3"/>
        <v>357.99</v>
      </c>
      <c r="U10" s="3">
        <f t="shared" si="9"/>
        <v>1.4449999999999998</v>
      </c>
      <c r="V10" s="9">
        <f t="shared" si="10"/>
        <v>101149.99999999999</v>
      </c>
      <c r="W10" s="3">
        <f>Dati!$D$78</f>
        <v>0.27500000000000002</v>
      </c>
      <c r="X10">
        <f t="shared" si="11"/>
        <v>19250</v>
      </c>
      <c r="Y10" s="9">
        <f t="shared" si="12"/>
        <v>43589.743589743586</v>
      </c>
      <c r="Z10" s="7">
        <f t="shared" si="17"/>
        <v>566666.66666666663</v>
      </c>
      <c r="AA10" s="9">
        <f t="shared" si="13"/>
        <v>163989.74358974356</v>
      </c>
      <c r="AB10" s="15">
        <f t="shared" si="14"/>
        <v>2131866.6666666665</v>
      </c>
    </row>
    <row r="11" spans="2:28" x14ac:dyDescent="0.25">
      <c r="M11" s="7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910000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f>D15</f>
        <v>13</v>
      </c>
      <c r="D15">
        <v>13</v>
      </c>
      <c r="F15" t="s">
        <v>437</v>
      </c>
    </row>
    <row r="16" spans="2:28" x14ac:dyDescent="0.25">
      <c r="B16" t="s">
        <v>154</v>
      </c>
      <c r="C16" s="16">
        <f>D16*100</f>
        <v>70000</v>
      </c>
      <c r="D16">
        <v>700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5" t="s">
        <v>20</v>
      </c>
      <c r="C29" t="s">
        <v>62</v>
      </c>
      <c r="D29" t="s">
        <v>52</v>
      </c>
      <c r="E29" s="63" t="s">
        <v>61</v>
      </c>
      <c r="F29" s="63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Dati!AB24</f>
        <v>0.3</v>
      </c>
      <c r="P29" s="11">
        <f>O29*N29</f>
        <v>0.26100000000000001</v>
      </c>
      <c r="R29" s="35"/>
      <c r="T29" s="4"/>
    </row>
    <row r="30" spans="2:20" x14ac:dyDescent="0.25">
      <c r="B30" s="65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Dati!AB25</f>
        <v>0.8</v>
      </c>
      <c r="P30" s="11">
        <f>N30*O30</f>
        <v>0.4</v>
      </c>
      <c r="R30" s="35"/>
    </row>
    <row r="31" spans="2:20" x14ac:dyDescent="0.25">
      <c r="B31" t="s">
        <v>106</v>
      </c>
      <c r="C31">
        <v>350</v>
      </c>
      <c r="D31" s="9">
        <f>C31/E31</f>
        <v>921.0526315789474</v>
      </c>
      <c r="E31">
        <v>0.38</v>
      </c>
      <c r="F31" s="7">
        <f>E31*Dati!$G$4</f>
        <v>3.7631779999999995</v>
      </c>
      <c r="G31" s="8">
        <v>150000</v>
      </c>
      <c r="H31" t="s">
        <v>107</v>
      </c>
      <c r="M31" t="s">
        <v>224</v>
      </c>
      <c r="N31" s="11">
        <f>Dati!Z14</f>
        <v>0.9</v>
      </c>
      <c r="O31" s="11">
        <f>Dati!AB25</f>
        <v>0.8</v>
      </c>
      <c r="P31" s="11">
        <f>N31*O31</f>
        <v>0.72000000000000008</v>
      </c>
      <c r="R31" s="35"/>
    </row>
    <row r="32" spans="2:20" x14ac:dyDescent="0.25">
      <c r="B32" t="s">
        <v>108</v>
      </c>
      <c r="C32">
        <v>325</v>
      </c>
      <c r="D32" s="9">
        <f t="shared" ref="D32:D33" si="18">C32/E32</f>
        <v>812.5</v>
      </c>
      <c r="E32">
        <v>0.4</v>
      </c>
      <c r="F32" s="7">
        <f>E32*Dati!$G$4</f>
        <v>3.9612399999999997</v>
      </c>
      <c r="G32" s="8">
        <v>250000</v>
      </c>
      <c r="M32" t="s">
        <v>225</v>
      </c>
      <c r="N32" s="11">
        <f>Dati!Z15</f>
        <v>0.7</v>
      </c>
      <c r="O32" s="11">
        <f>Dati!$AB$26</f>
        <v>0.5</v>
      </c>
      <c r="P32" s="11">
        <f>N32*O32</f>
        <v>0.35</v>
      </c>
    </row>
    <row r="33" spans="2:24" x14ac:dyDescent="0.25">
      <c r="B33" t="s">
        <v>109</v>
      </c>
      <c r="C33">
        <v>210</v>
      </c>
      <c r="D33" s="9">
        <f t="shared" si="18"/>
        <v>552.63157894736844</v>
      </c>
      <c r="E33">
        <v>0.38</v>
      </c>
      <c r="F33" s="7">
        <f>E33*Dati!$G$4</f>
        <v>3.7631779999999995</v>
      </c>
      <c r="G33" s="8">
        <v>240000</v>
      </c>
      <c r="M33" t="s">
        <v>226</v>
      </c>
      <c r="N33" s="11">
        <f>Dati!Z16</f>
        <v>0.27500000000000002</v>
      </c>
      <c r="O33" s="11">
        <f>Dati!$AB$26</f>
        <v>0.5</v>
      </c>
      <c r="P33" s="11">
        <f>N33*O33</f>
        <v>0.13750000000000001</v>
      </c>
    </row>
    <row r="34" spans="2:24" x14ac:dyDescent="0.25">
      <c r="B34" t="s">
        <v>149</v>
      </c>
      <c r="C34">
        <f>AVERAGE(C31:C33)</f>
        <v>295</v>
      </c>
      <c r="D34" s="9">
        <f t="shared" ref="D34:G34" si="19">AVERAGE(D31:D33)</f>
        <v>762.06140350877195</v>
      </c>
      <c r="E34" s="7">
        <f t="shared" si="19"/>
        <v>0.38666666666666671</v>
      </c>
      <c r="F34" s="7">
        <f t="shared" si="19"/>
        <v>3.8291986666666662</v>
      </c>
      <c r="G34">
        <f t="shared" si="19"/>
        <v>213333.33333333334</v>
      </c>
      <c r="M34" t="s">
        <v>227</v>
      </c>
      <c r="N34" s="11">
        <f>Dati!Z17</f>
        <v>0.62</v>
      </c>
      <c r="O34" s="11">
        <f>Dati!$AB$26</f>
        <v>0.5</v>
      </c>
      <c r="P34" s="11">
        <f>N34*O34</f>
        <v>0.31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5" t="s">
        <v>20</v>
      </c>
      <c r="C38" t="s">
        <v>62</v>
      </c>
      <c r="D38" t="s">
        <v>52</v>
      </c>
      <c r="E38" s="63" t="s">
        <v>61</v>
      </c>
      <c r="F38" s="63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5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110</v>
      </c>
      <c r="C40">
        <v>348</v>
      </c>
      <c r="D40" s="9">
        <f>C40/E40</f>
        <v>250.35971223021585</v>
      </c>
      <c r="E40">
        <v>1.39</v>
      </c>
      <c r="F40">
        <f>E40</f>
        <v>1.39</v>
      </c>
      <c r="G40" s="8">
        <v>320000</v>
      </c>
      <c r="H40" t="s">
        <v>111</v>
      </c>
      <c r="M40" t="s">
        <v>205</v>
      </c>
      <c r="N40" s="3">
        <f>Dati!R32</f>
        <v>0.33003300330033003</v>
      </c>
      <c r="O40" t="s">
        <v>204</v>
      </c>
      <c r="W40" s="11"/>
    </row>
    <row r="41" spans="2:24" x14ac:dyDescent="0.25">
      <c r="B41" t="s">
        <v>112</v>
      </c>
      <c r="C41">
        <v>350</v>
      </c>
      <c r="D41" s="9">
        <f t="shared" ref="D41:D43" si="20">C41/E41</f>
        <v>230.26315789473685</v>
      </c>
      <c r="E41">
        <v>1.52</v>
      </c>
      <c r="F41">
        <f t="shared" ref="F41:F43" si="21">E41</f>
        <v>1.52</v>
      </c>
      <c r="G41" s="8">
        <v>400000</v>
      </c>
      <c r="M41" t="s">
        <v>334</v>
      </c>
      <c r="N41" s="3">
        <f>Dati!R33</f>
        <v>0.38703870387038708</v>
      </c>
      <c r="O41" t="s">
        <v>204</v>
      </c>
      <c r="P41" s="12"/>
      <c r="W41" s="11"/>
    </row>
    <row r="42" spans="2:24" x14ac:dyDescent="0.25">
      <c r="B42" t="s">
        <v>113</v>
      </c>
      <c r="C42">
        <v>300</v>
      </c>
      <c r="D42" s="9">
        <f t="shared" si="20"/>
        <v>200</v>
      </c>
      <c r="E42">
        <v>1.5</v>
      </c>
      <c r="F42">
        <f t="shared" si="21"/>
        <v>1.5</v>
      </c>
      <c r="G42" s="8">
        <v>420000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W42" s="11"/>
    </row>
    <row r="43" spans="2:24" x14ac:dyDescent="0.25">
      <c r="B43" t="s">
        <v>114</v>
      </c>
      <c r="C43">
        <v>392</v>
      </c>
      <c r="D43" s="9">
        <f t="shared" si="20"/>
        <v>170.43478260869566</v>
      </c>
      <c r="E43">
        <v>2.2999999999999998</v>
      </c>
      <c r="F43">
        <f t="shared" si="21"/>
        <v>2.2999999999999998</v>
      </c>
      <c r="G43" s="8">
        <v>450000</v>
      </c>
    </row>
    <row r="44" spans="2:24" x14ac:dyDescent="0.25">
      <c r="B44" t="s">
        <v>149</v>
      </c>
      <c r="C44">
        <f>AVERAGE(C40:C43)</f>
        <v>347.5</v>
      </c>
      <c r="D44" s="9">
        <f t="shared" ref="D44:G44" si="22">AVERAGE(D40:D43)</f>
        <v>212.76441318341207</v>
      </c>
      <c r="E44" s="7">
        <f t="shared" si="22"/>
        <v>1.6775</v>
      </c>
      <c r="F44" s="7">
        <f t="shared" si="22"/>
        <v>1.6775</v>
      </c>
      <c r="G44">
        <f t="shared" si="22"/>
        <v>397500</v>
      </c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4" t="s">
        <v>83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5" t="s">
        <v>20</v>
      </c>
      <c r="C48" t="s">
        <v>62</v>
      </c>
      <c r="D48" t="s">
        <v>52</v>
      </c>
      <c r="E48" s="63" t="s">
        <v>61</v>
      </c>
      <c r="F48" s="63"/>
      <c r="G48" t="s">
        <v>22</v>
      </c>
      <c r="H48" t="s">
        <v>42</v>
      </c>
      <c r="M48" t="s">
        <v>200</v>
      </c>
      <c r="N48">
        <v>0</v>
      </c>
      <c r="O48" t="s">
        <v>204</v>
      </c>
      <c r="T48" t="s">
        <v>267</v>
      </c>
      <c r="U48" t="s">
        <v>73</v>
      </c>
      <c r="V48">
        <f>(800000 + 1200000)/2</f>
        <v>1000000</v>
      </c>
      <c r="W48">
        <f>27/2</f>
        <v>13.5</v>
      </c>
      <c r="X48">
        <f>(60000 +80000)/2</f>
        <v>70000</v>
      </c>
    </row>
    <row r="49" spans="2:27" x14ac:dyDescent="0.25">
      <c r="B49" s="65"/>
      <c r="C49" t="s">
        <v>45</v>
      </c>
      <c r="D49" t="s">
        <v>3</v>
      </c>
      <c r="E49" t="s">
        <v>124</v>
      </c>
      <c r="F49" t="s">
        <v>123</v>
      </c>
      <c r="G49" t="s">
        <v>122</v>
      </c>
      <c r="H49" t="s">
        <v>35</v>
      </c>
      <c r="I49" t="s">
        <v>63</v>
      </c>
      <c r="M49" s="7"/>
      <c r="N49" s="7"/>
      <c r="O49" s="7"/>
      <c r="P49" s="12"/>
      <c r="U49" t="s">
        <v>95</v>
      </c>
      <c r="V49">
        <f>(800000+ 1200000)/2</f>
        <v>1000000</v>
      </c>
      <c r="W49">
        <f>27/2</f>
        <v>13.5</v>
      </c>
      <c r="X49">
        <f>(60000+80000)/2</f>
        <v>70000</v>
      </c>
      <c r="Y49" s="14"/>
    </row>
    <row r="50" spans="2:27" x14ac:dyDescent="0.25">
      <c r="B50" t="s">
        <v>115</v>
      </c>
      <c r="C50">
        <v>30</v>
      </c>
      <c r="D50" s="9">
        <f>C50/E50</f>
        <v>315.78947368421052</v>
      </c>
      <c r="E50">
        <v>9.5000000000000001E-2</v>
      </c>
      <c r="F50" s="7">
        <f>E50*Dati!$F$5</f>
        <v>3.16635</v>
      </c>
      <c r="G50" s="8">
        <v>450000</v>
      </c>
      <c r="H50">
        <v>350</v>
      </c>
      <c r="I50" t="s">
        <v>116</v>
      </c>
      <c r="U50" t="s">
        <v>83</v>
      </c>
      <c r="V50">
        <f>(600000+ 1000000)/2</f>
        <v>800000</v>
      </c>
      <c r="W50">
        <f>12</f>
        <v>12</v>
      </c>
      <c r="X50">
        <v>70000</v>
      </c>
      <c r="Y50" s="14"/>
    </row>
    <row r="51" spans="2:27" x14ac:dyDescent="0.25">
      <c r="B51" t="s">
        <v>117</v>
      </c>
      <c r="C51">
        <v>37.5</v>
      </c>
      <c r="D51" s="9">
        <f t="shared" ref="D51:D52" si="23">C51/E51</f>
        <v>398.93617021276594</v>
      </c>
      <c r="E51">
        <v>9.4E-2</v>
      </c>
      <c r="F51" s="7">
        <f>E51*Dati!$F$5</f>
        <v>3.1330199999999997</v>
      </c>
      <c r="G51" s="8">
        <v>600000</v>
      </c>
      <c r="H51">
        <v>350</v>
      </c>
      <c r="M51" s="4" t="s">
        <v>382</v>
      </c>
      <c r="V51" s="14">
        <f>AVERAGE(V48:V50)</f>
        <v>933333.33333333337</v>
      </c>
      <c r="W51" s="14">
        <f t="shared" ref="W51:X51" si="24">AVERAGE(W48:W50)</f>
        <v>13</v>
      </c>
      <c r="X51" s="14">
        <f t="shared" si="24"/>
        <v>70000</v>
      </c>
    </row>
    <row r="52" spans="2:27" x14ac:dyDescent="0.25">
      <c r="B52" t="s">
        <v>118</v>
      </c>
      <c r="C52">
        <v>35</v>
      </c>
      <c r="D52" s="9">
        <f t="shared" si="23"/>
        <v>350</v>
      </c>
      <c r="E52">
        <v>0.1</v>
      </c>
      <c r="F52" s="7">
        <f>E52*Dati!$F$5</f>
        <v>3.3330000000000002</v>
      </c>
      <c r="G52" s="8">
        <v>650000</v>
      </c>
      <c r="H52">
        <v>350</v>
      </c>
      <c r="M52" s="4" t="s">
        <v>336</v>
      </c>
      <c r="N52" t="s">
        <v>486</v>
      </c>
    </row>
    <row r="53" spans="2:27" x14ac:dyDescent="0.25">
      <c r="B53" t="s">
        <v>149</v>
      </c>
      <c r="C53" s="7">
        <f>AVERAGE(C50:C52)</f>
        <v>34.166666666666664</v>
      </c>
      <c r="D53" s="7">
        <f t="shared" ref="D53:H53" si="25">AVERAGE(D50:D52)</f>
        <v>354.90854796565878</v>
      </c>
      <c r="E53" s="3">
        <f t="shared" si="25"/>
        <v>9.633333333333334E-2</v>
      </c>
      <c r="F53" s="3">
        <f t="shared" si="25"/>
        <v>3.2107899999999998</v>
      </c>
      <c r="G53">
        <f t="shared" si="25"/>
        <v>566666.66666666663</v>
      </c>
      <c r="H53">
        <f t="shared" si="25"/>
        <v>350</v>
      </c>
      <c r="M53" t="s">
        <v>73</v>
      </c>
      <c r="N53">
        <f>Dati!Q49</f>
        <v>50000</v>
      </c>
    </row>
    <row r="54" spans="2:27" x14ac:dyDescent="0.25">
      <c r="M54" t="s">
        <v>147</v>
      </c>
      <c r="N54">
        <f>Dati!Q50</f>
        <v>85000</v>
      </c>
    </row>
    <row r="55" spans="2:27" x14ac:dyDescent="0.25">
      <c r="B55" s="4"/>
      <c r="M55" t="s">
        <v>148</v>
      </c>
      <c r="N55">
        <f>Dati!Q51</f>
        <v>95000</v>
      </c>
    </row>
    <row r="56" spans="2:27" x14ac:dyDescent="0.25">
      <c r="C56" s="3"/>
    </row>
    <row r="57" spans="2:27" x14ac:dyDescent="0.25">
      <c r="C57" s="3"/>
    </row>
    <row r="58" spans="2:27" x14ac:dyDescent="0.25">
      <c r="Y58" s="14"/>
      <c r="Z58" s="43"/>
      <c r="AA58" s="14"/>
    </row>
    <row r="59" spans="2:27" x14ac:dyDescent="0.25">
      <c r="Y59" s="14"/>
      <c r="Z59" s="43"/>
      <c r="AA59" s="14"/>
    </row>
    <row r="60" spans="2:27" x14ac:dyDescent="0.25">
      <c r="Y60" s="14"/>
      <c r="Z60" s="43"/>
      <c r="AA60" s="14"/>
    </row>
    <row r="61" spans="2:27" x14ac:dyDescent="0.25">
      <c r="C61" s="11"/>
      <c r="Y61" s="14"/>
      <c r="Z61" s="43"/>
      <c r="AA61" s="14"/>
    </row>
    <row r="62" spans="2:27" x14ac:dyDescent="0.25">
      <c r="C62" s="11"/>
      <c r="Y62" s="14"/>
      <c r="Z62" s="43"/>
      <c r="AA62" s="14"/>
    </row>
    <row r="63" spans="2:27" x14ac:dyDescent="0.25">
      <c r="Y63" s="14"/>
      <c r="Z63" s="43"/>
      <c r="AA63" s="14"/>
    </row>
  </sheetData>
  <mergeCells count="15">
    <mergeCell ref="B38:B39"/>
    <mergeCell ref="B48:B49"/>
    <mergeCell ref="E29:F29"/>
    <mergeCell ref="E38:F38"/>
    <mergeCell ref="E48:F48"/>
    <mergeCell ref="C2:E2"/>
    <mergeCell ref="G2:J2"/>
    <mergeCell ref="B29:B30"/>
    <mergeCell ref="L2:S2"/>
    <mergeCell ref="U2:AB2"/>
    <mergeCell ref="AA3:AB3"/>
    <mergeCell ref="O3:P3"/>
    <mergeCell ref="U3:V3"/>
    <mergeCell ref="W3:X3"/>
    <mergeCell ref="Y3:Z3"/>
  </mergeCells>
  <conditionalFormatting sqref="E5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5" r:id="rId3" name="Scroll Bar 9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4" name="Scroll Bar 10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5" name="Scroll Bar 11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6" name="Scroll Bar 12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7" name="Scroll Bar 14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8" name="Scroll Bar 15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9" name="Scroll Bar 16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0" name="Scroll Bar 17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E576-5837-4C9A-B5EE-F1CC1020D2EF}">
  <dimension ref="B2:AB62"/>
  <sheetViews>
    <sheetView workbookViewId="0">
      <selection activeCell="L10" sqref="L10"/>
    </sheetView>
  </sheetViews>
  <sheetFormatPr defaultRowHeight="15" x14ac:dyDescent="0.25"/>
  <cols>
    <col min="1" max="1" width="2.85546875" customWidth="1"/>
    <col min="12" max="12" width="9.5703125" bestFit="1" customWidth="1"/>
    <col min="13" max="13" width="11.7109375" customWidth="1"/>
    <col min="14" max="14" width="9.5703125" bestFit="1" customWidth="1"/>
    <col min="26" max="26" width="9.5703125" bestFit="1" customWidth="1"/>
  </cols>
  <sheetData>
    <row r="2" spans="2:28" x14ac:dyDescent="0.25">
      <c r="C2" s="64" t="s">
        <v>214</v>
      </c>
      <c r="D2" s="64"/>
      <c r="E2" s="64"/>
      <c r="G2" s="64" t="s">
        <v>446</v>
      </c>
      <c r="H2" s="64"/>
      <c r="I2" s="64"/>
      <c r="J2" s="64"/>
      <c r="L2" s="64" t="s">
        <v>215</v>
      </c>
      <c r="M2" s="64"/>
      <c r="N2" s="64"/>
      <c r="O2" s="64"/>
      <c r="P2" s="64"/>
      <c r="Q2" s="64"/>
      <c r="R2" s="64"/>
      <c r="S2" s="64"/>
      <c r="T2" s="4"/>
      <c r="U2" s="64" t="s">
        <v>216</v>
      </c>
      <c r="V2" s="64"/>
      <c r="W2" s="64"/>
      <c r="X2" s="64"/>
      <c r="Y2" s="64"/>
      <c r="Z2" s="64"/>
      <c r="AA2" s="64"/>
      <c r="AB2" s="64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6" t="s">
        <v>483</v>
      </c>
      <c r="P3" s="66"/>
      <c r="Q3" t="s">
        <v>385</v>
      </c>
      <c r="R3" s="2" t="s">
        <v>364</v>
      </c>
      <c r="S3" s="2" t="s">
        <v>484</v>
      </c>
      <c r="U3" s="63" t="s">
        <v>388</v>
      </c>
      <c r="V3" s="63"/>
      <c r="W3" s="63" t="s">
        <v>389</v>
      </c>
      <c r="X3" s="63"/>
      <c r="Y3" s="63" t="s">
        <v>166</v>
      </c>
      <c r="Z3" s="63"/>
      <c r="AA3" s="63" t="s">
        <v>485</v>
      </c>
      <c r="AB3" s="63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475</v>
      </c>
      <c r="D5" s="7">
        <f>D34</f>
        <v>1685.6312673009588</v>
      </c>
      <c r="E5" s="3">
        <f>F34</f>
        <v>2.8058783333333328</v>
      </c>
      <c r="G5" s="7">
        <f>H5/N29</f>
        <v>5406.8649425287349</v>
      </c>
      <c r="H5" s="7">
        <f>C5*Dati!G4</f>
        <v>4703.9724999999989</v>
      </c>
      <c r="I5" s="7">
        <f>H5*O29</f>
        <v>1716.9499624999996</v>
      </c>
      <c r="J5" s="12">
        <f>I5/G5</f>
        <v>0.31755</v>
      </c>
      <c r="K5" s="12"/>
      <c r="L5" s="9">
        <f>C16*E34</f>
        <v>21250.000000000004</v>
      </c>
      <c r="M5" s="25">
        <f t="shared" ref="M5:M10" si="0">$C$16*E5</f>
        <v>210440.87499999997</v>
      </c>
      <c r="N5" s="25">
        <f>M5/N29</f>
        <v>241886.06321839077</v>
      </c>
      <c r="O5" s="25">
        <f>N37*M5</f>
        <v>8415</v>
      </c>
      <c r="P5" s="25">
        <f>N45*N5</f>
        <v>64482.758620689667</v>
      </c>
      <c r="Q5" s="7">
        <f>(O5+P5)/1000</f>
        <v>72.897758620689672</v>
      </c>
      <c r="R5" s="25">
        <f>N53</f>
        <v>50000</v>
      </c>
      <c r="S5" s="9">
        <f t="shared" ref="S5:S10" si="1">(R5+(P5+O5)*$C$15)/1000</f>
        <v>1143.466379310345</v>
      </c>
      <c r="U5" s="3">
        <f>F19*$E$5</f>
        <v>0.51</v>
      </c>
      <c r="V5" s="9">
        <f>U5*$C$16</f>
        <v>38250</v>
      </c>
      <c r="W5" s="3">
        <f>Dati!D79</f>
        <v>0.23</v>
      </c>
      <c r="X5">
        <f>W5*$C$16</f>
        <v>17250</v>
      </c>
      <c r="Y5" s="9">
        <f>Z5/$C$15</f>
        <v>15166.666666666666</v>
      </c>
      <c r="Z5" s="7">
        <f>G34</f>
        <v>227500</v>
      </c>
      <c r="AA5" s="9">
        <f>AB5/$C$15</f>
        <v>70666.666666666672</v>
      </c>
      <c r="AB5" s="15">
        <f>((X5+V5)*$C$15+Z5)</f>
        <v>1060000</v>
      </c>
    </row>
    <row r="6" spans="2:28" x14ac:dyDescent="0.25">
      <c r="B6" s="4" t="s">
        <v>210</v>
      </c>
      <c r="C6" s="7">
        <f>C43</f>
        <v>331.66666666666669</v>
      </c>
      <c r="D6" s="7">
        <f>$D$43</f>
        <v>285.08454106280197</v>
      </c>
      <c r="E6" s="3">
        <f>F43</f>
        <v>1.1666666666666665</v>
      </c>
      <c r="G6" s="7">
        <f t="shared" ref="G6:G10" si="2">H6/N30</f>
        <v>663.33333333333337</v>
      </c>
      <c r="H6" s="7">
        <f>C6</f>
        <v>331.66666666666669</v>
      </c>
      <c r="I6" s="7">
        <f t="shared" ref="I6:I10" si="3">H6*O30</f>
        <v>271.96666666666664</v>
      </c>
      <c r="J6" s="12">
        <f t="shared" ref="J6:J10" si="4">I6/G6</f>
        <v>0.40999999999999992</v>
      </c>
      <c r="K6" s="20"/>
      <c r="L6" s="9">
        <f>M6</f>
        <v>87499.999999999985</v>
      </c>
      <c r="M6" s="25">
        <f t="shared" si="0"/>
        <v>87499.999999999985</v>
      </c>
      <c r="N6" s="25">
        <f t="shared" ref="N6:N10" si="5">M6/N30</f>
        <v>174999.99999999997</v>
      </c>
      <c r="O6" s="25">
        <f t="shared" ref="O6:O10" si="6">N38*M6</f>
        <v>18812.499999999996</v>
      </c>
      <c r="P6" s="25">
        <v>0</v>
      </c>
      <c r="Q6" s="7">
        <f t="shared" ref="Q6:Q10" si="7">(O6+P6)/1000</f>
        <v>18.812499999999996</v>
      </c>
      <c r="R6" s="25">
        <f>$N$54</f>
        <v>85000</v>
      </c>
      <c r="S6" s="9">
        <f t="shared" si="1"/>
        <v>367.18749999999994</v>
      </c>
      <c r="U6" s="3">
        <f t="shared" ref="U6:U10" si="8">F20*$E$5</f>
        <v>0.86982228333333311</v>
      </c>
      <c r="V6" s="9">
        <f t="shared" ref="V6:V10" si="9">U6*$C$16</f>
        <v>65236.671249999985</v>
      </c>
      <c r="W6" s="3">
        <f>Dati!$D$80</f>
        <v>0.13500000000000001</v>
      </c>
      <c r="X6">
        <f t="shared" ref="X6:X10" si="10">W6*$C$16</f>
        <v>10125</v>
      </c>
      <c r="Y6" s="9">
        <f t="shared" ref="Y6:Y10" si="11">Z6/$C$15</f>
        <v>30000</v>
      </c>
      <c r="Z6" s="7">
        <f>$G$43</f>
        <v>450000</v>
      </c>
      <c r="AA6" s="9">
        <f t="shared" ref="AA6:AA10" si="12">AB6/$C$15</f>
        <v>105361.67124999998</v>
      </c>
      <c r="AB6" s="15">
        <f t="shared" ref="AB6:AB10" si="13">((X6+V6)*$C$15+Z6)</f>
        <v>1580425.0687499999</v>
      </c>
    </row>
    <row r="7" spans="2:28" x14ac:dyDescent="0.25">
      <c r="B7" s="4" t="s">
        <v>211</v>
      </c>
      <c r="C7" s="7">
        <f>$C$43</f>
        <v>331.66666666666669</v>
      </c>
      <c r="D7" s="7">
        <f>$D$43</f>
        <v>285.08454106280197</v>
      </c>
      <c r="E7" s="3">
        <f>F43</f>
        <v>1.1666666666666665</v>
      </c>
      <c r="G7" s="7">
        <f t="shared" si="2"/>
        <v>368.51851851851853</v>
      </c>
      <c r="H7" s="7">
        <f>C7</f>
        <v>331.66666666666669</v>
      </c>
      <c r="I7" s="7">
        <f t="shared" si="3"/>
        <v>271.96666666666664</v>
      </c>
      <c r="J7" s="12">
        <f t="shared" si="4"/>
        <v>0.73799999999999988</v>
      </c>
      <c r="L7" s="9">
        <f>$C$16*$F$43</f>
        <v>87499.999999999985</v>
      </c>
      <c r="M7" s="25">
        <f t="shared" si="0"/>
        <v>87499.999999999985</v>
      </c>
      <c r="N7" s="25">
        <f t="shared" si="5"/>
        <v>97222.222222222204</v>
      </c>
      <c r="O7" s="25">
        <f t="shared" si="6"/>
        <v>4812.4999999999991</v>
      </c>
      <c r="P7" s="25">
        <v>0</v>
      </c>
      <c r="Q7" s="7">
        <f t="shared" si="7"/>
        <v>4.8124999999999991</v>
      </c>
      <c r="R7" s="25">
        <f t="shared" ref="R7" si="14">$N$54</f>
        <v>85000</v>
      </c>
      <c r="S7" s="9">
        <f t="shared" si="1"/>
        <v>157.1875</v>
      </c>
      <c r="U7" s="3">
        <f t="shared" si="8"/>
        <v>0.67341079999999987</v>
      </c>
      <c r="V7" s="9">
        <f t="shared" si="9"/>
        <v>50505.80999999999</v>
      </c>
      <c r="W7" s="3">
        <f>Dati!$D$80</f>
        <v>0.13500000000000001</v>
      </c>
      <c r="X7">
        <f t="shared" si="10"/>
        <v>10125</v>
      </c>
      <c r="Y7" s="9">
        <f t="shared" si="11"/>
        <v>30000</v>
      </c>
      <c r="Z7" s="7">
        <f>$G$43</f>
        <v>450000</v>
      </c>
      <c r="AA7" s="9">
        <f t="shared" si="12"/>
        <v>90630.81</v>
      </c>
      <c r="AB7" s="15">
        <f t="shared" si="13"/>
        <v>1359462.15</v>
      </c>
    </row>
    <row r="8" spans="2:28" x14ac:dyDescent="0.25">
      <c r="B8" s="4" t="s">
        <v>232</v>
      </c>
      <c r="C8" s="7">
        <f>$C$53</f>
        <v>36.666666666666664</v>
      </c>
      <c r="D8" s="7">
        <f>$D$53</f>
        <v>556.98005698005693</v>
      </c>
      <c r="E8" s="3">
        <f>$F$53</f>
        <v>2.1942249999999999</v>
      </c>
      <c r="G8" s="7">
        <f t="shared" si="2"/>
        <v>1745.8571428571429</v>
      </c>
      <c r="H8" s="7">
        <f>C8*Dati!$F$5</f>
        <v>1222.0999999999999</v>
      </c>
      <c r="I8" s="7">
        <f t="shared" si="3"/>
        <v>549.94499999999994</v>
      </c>
      <c r="J8" s="12">
        <f t="shared" si="4"/>
        <v>0.31499999999999995</v>
      </c>
      <c r="L8" s="9">
        <f>$C$16*$E$53</f>
        <v>4937.5000000000009</v>
      </c>
      <c r="M8" s="25">
        <f t="shared" si="0"/>
        <v>164566.875</v>
      </c>
      <c r="N8" s="25">
        <f t="shared" si="5"/>
        <v>235095.53571428574</v>
      </c>
      <c r="O8" s="25">
        <f t="shared" si="6"/>
        <v>54312.5</v>
      </c>
      <c r="P8" s="25">
        <v>0</v>
      </c>
      <c r="Q8" s="7">
        <f t="shared" si="7"/>
        <v>54.3125</v>
      </c>
      <c r="R8" s="25">
        <f>$N$55</f>
        <v>95000</v>
      </c>
      <c r="S8" s="9">
        <f t="shared" si="1"/>
        <v>909.6875</v>
      </c>
      <c r="U8" s="3">
        <f t="shared" si="8"/>
        <v>0.16836953695369536</v>
      </c>
      <c r="V8" s="9">
        <f t="shared" si="9"/>
        <v>12627.715271527151</v>
      </c>
      <c r="W8" s="3">
        <f>Dati!$D$81</f>
        <v>0.22000000000000003</v>
      </c>
      <c r="X8">
        <f t="shared" si="10"/>
        <v>16500.000000000004</v>
      </c>
      <c r="Y8" s="9">
        <f t="shared" si="11"/>
        <v>45000</v>
      </c>
      <c r="Z8" s="7">
        <f>$G$53</f>
        <v>675000</v>
      </c>
      <c r="AA8" s="9">
        <f t="shared" si="12"/>
        <v>74127.715271527151</v>
      </c>
      <c r="AB8" s="15">
        <f t="shared" si="13"/>
        <v>1111915.7290729072</v>
      </c>
    </row>
    <row r="9" spans="2:28" x14ac:dyDescent="0.25">
      <c r="B9" s="4" t="s">
        <v>221</v>
      </c>
      <c r="C9" s="7">
        <f t="shared" ref="C9:C10" si="15">$C$53</f>
        <v>36.666666666666664</v>
      </c>
      <c r="D9" s="7">
        <f t="shared" ref="D9:D10" si="16">$D$53</f>
        <v>556.98005698005693</v>
      </c>
      <c r="E9" s="3">
        <f t="shared" ref="E9:E10" si="17">$F$53</f>
        <v>2.1942249999999999</v>
      </c>
      <c r="G9" s="7">
        <f t="shared" si="2"/>
        <v>4443.9999999999991</v>
      </c>
      <c r="H9" s="7">
        <f>C9*Dati!$F$5</f>
        <v>1222.0999999999999</v>
      </c>
      <c r="I9" s="7">
        <f t="shared" si="3"/>
        <v>549.94499999999994</v>
      </c>
      <c r="J9" s="12">
        <f t="shared" si="4"/>
        <v>0.12375000000000001</v>
      </c>
      <c r="L9" s="9">
        <f t="shared" ref="L9:L10" si="18">$C$16*$E$53</f>
        <v>4937.5000000000009</v>
      </c>
      <c r="M9" s="25">
        <f t="shared" si="0"/>
        <v>164566.875</v>
      </c>
      <c r="N9" s="25">
        <f t="shared" si="5"/>
        <v>598425</v>
      </c>
      <c r="O9" s="25">
        <f t="shared" si="6"/>
        <v>63693.750000000007</v>
      </c>
      <c r="P9" s="25">
        <v>0</v>
      </c>
      <c r="Q9" s="7">
        <f t="shared" si="7"/>
        <v>63.693750000000009</v>
      </c>
      <c r="R9" s="25">
        <f t="shared" ref="R9:R10" si="19">$N$55</f>
        <v>95000</v>
      </c>
      <c r="S9" s="9">
        <f t="shared" si="1"/>
        <v>1050.40625</v>
      </c>
      <c r="U9" s="3">
        <f t="shared" si="8"/>
        <v>1.6836953695369534</v>
      </c>
      <c r="V9" s="9">
        <f t="shared" si="9"/>
        <v>126277.15271527151</v>
      </c>
      <c r="W9" s="3">
        <f>Dati!$D$81</f>
        <v>0.22000000000000003</v>
      </c>
      <c r="X9">
        <f t="shared" si="10"/>
        <v>16500.000000000004</v>
      </c>
      <c r="Y9" s="9">
        <f t="shared" si="11"/>
        <v>45000</v>
      </c>
      <c r="Z9" s="7">
        <f t="shared" ref="Z9:Z10" si="20">$G$53</f>
        <v>675000</v>
      </c>
      <c r="AA9" s="9">
        <f t="shared" si="12"/>
        <v>187777.15271527151</v>
      </c>
      <c r="AB9" s="15">
        <f t="shared" si="13"/>
        <v>2816657.2907290729</v>
      </c>
    </row>
    <row r="10" spans="2:28" x14ac:dyDescent="0.25">
      <c r="B10" s="4" t="s">
        <v>220</v>
      </c>
      <c r="C10" s="7">
        <f t="shared" si="15"/>
        <v>36.666666666666664</v>
      </c>
      <c r="D10" s="7">
        <f t="shared" si="16"/>
        <v>556.98005698005693</v>
      </c>
      <c r="E10" s="3">
        <f t="shared" si="17"/>
        <v>2.1942249999999999</v>
      </c>
      <c r="G10" s="7">
        <f t="shared" si="2"/>
        <v>1971.1290322580644</v>
      </c>
      <c r="H10" s="7">
        <f>C10*Dati!$F$5</f>
        <v>1222.0999999999999</v>
      </c>
      <c r="I10" s="7">
        <f t="shared" si="3"/>
        <v>549.94499999999994</v>
      </c>
      <c r="J10" s="12">
        <f t="shared" si="4"/>
        <v>0.27899999999999997</v>
      </c>
      <c r="K10" s="20"/>
      <c r="L10" s="9">
        <f t="shared" si="18"/>
        <v>4937.5000000000009</v>
      </c>
      <c r="M10" s="25">
        <f t="shared" si="0"/>
        <v>164566.875</v>
      </c>
      <c r="N10" s="25">
        <f t="shared" si="5"/>
        <v>265430.44354838709</v>
      </c>
      <c r="O10" s="25">
        <f t="shared" si="6"/>
        <v>14812.5</v>
      </c>
      <c r="P10" s="25">
        <v>0</v>
      </c>
      <c r="Q10" s="7">
        <f t="shared" si="7"/>
        <v>14.8125</v>
      </c>
      <c r="R10" s="25">
        <f t="shared" si="19"/>
        <v>95000</v>
      </c>
      <c r="S10" s="9">
        <f t="shared" si="1"/>
        <v>317.1875</v>
      </c>
      <c r="U10" s="3">
        <f t="shared" si="8"/>
        <v>1.2627715271527151</v>
      </c>
      <c r="V10" s="9">
        <f t="shared" si="9"/>
        <v>94707.864536453635</v>
      </c>
      <c r="W10" s="3">
        <f>Dati!$D$81</f>
        <v>0.22000000000000003</v>
      </c>
      <c r="X10">
        <f t="shared" si="10"/>
        <v>16500.000000000004</v>
      </c>
      <c r="Y10" s="9">
        <f t="shared" si="11"/>
        <v>45000</v>
      </c>
      <c r="Z10" s="7">
        <f t="shared" si="20"/>
        <v>675000</v>
      </c>
      <c r="AA10" s="9">
        <f t="shared" si="12"/>
        <v>156207.86453645362</v>
      </c>
      <c r="AB10" s="15">
        <f t="shared" si="13"/>
        <v>2343117.9680468044</v>
      </c>
    </row>
    <row r="11" spans="2:28" x14ac:dyDescent="0.25">
      <c r="M11" s="7"/>
      <c r="U11" s="3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1125000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f>D15</f>
        <v>15</v>
      </c>
      <c r="D15">
        <v>15</v>
      </c>
      <c r="F15" t="s">
        <v>437</v>
      </c>
    </row>
    <row r="16" spans="2:28" x14ac:dyDescent="0.25">
      <c r="B16" t="s">
        <v>154</v>
      </c>
      <c r="C16" s="16">
        <f>D16*100</f>
        <v>75000</v>
      </c>
      <c r="D16">
        <v>750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5" spans="2:20" x14ac:dyDescent="0.25">
      <c r="G25" s="17"/>
      <c r="H25" s="7"/>
      <c r="L25" s="4"/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5" t="s">
        <v>20</v>
      </c>
      <c r="C29" t="s">
        <v>62</v>
      </c>
      <c r="D29" t="s">
        <v>52</v>
      </c>
      <c r="E29" s="63" t="s">
        <v>61</v>
      </c>
      <c r="F29" s="63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Dati!AC24</f>
        <v>0.36499999999999999</v>
      </c>
      <c r="P29" s="11">
        <f>O29*N29</f>
        <v>0.31755</v>
      </c>
      <c r="T29" s="4"/>
    </row>
    <row r="30" spans="2:20" x14ac:dyDescent="0.25">
      <c r="B30" s="65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Dati!$AC$25</f>
        <v>0.82</v>
      </c>
      <c r="P30" s="11">
        <f t="shared" ref="P30:P34" si="21">O30*N30</f>
        <v>0.41</v>
      </c>
    </row>
    <row r="31" spans="2:20" x14ac:dyDescent="0.25">
      <c r="B31" t="s">
        <v>528</v>
      </c>
      <c r="C31">
        <v>500</v>
      </c>
      <c r="D31" s="9">
        <f>C31/E31</f>
        <v>1754.3859649122808</v>
      </c>
      <c r="E31">
        <v>0.28499999999999998</v>
      </c>
      <c r="F31" s="3">
        <f>E31*Dati!$G$4</f>
        <v>2.8223834999999995</v>
      </c>
      <c r="G31">
        <f>(275+200)/2*1000</f>
        <v>237500</v>
      </c>
      <c r="H31" t="s">
        <v>530</v>
      </c>
      <c r="M31" t="s">
        <v>224</v>
      </c>
      <c r="N31" s="11">
        <f>Dati!Z14</f>
        <v>0.9</v>
      </c>
      <c r="O31" s="11">
        <f>Dati!$AC$25</f>
        <v>0.82</v>
      </c>
      <c r="P31" s="11">
        <f t="shared" si="21"/>
        <v>0.73799999999999999</v>
      </c>
    </row>
    <row r="32" spans="2:20" x14ac:dyDescent="0.25">
      <c r="B32" t="s">
        <v>493</v>
      </c>
      <c r="C32">
        <v>600</v>
      </c>
      <c r="D32" s="9">
        <f t="shared" ref="D32:D33" si="22">C32/E32</f>
        <v>2181.8181818181815</v>
      </c>
      <c r="E32">
        <f>0.55/2</f>
        <v>0.27500000000000002</v>
      </c>
      <c r="F32" s="3">
        <f>E32*Dati!$G$4</f>
        <v>2.7233524999999998</v>
      </c>
      <c r="G32">
        <f>(210+250)/2*1000</f>
        <v>230000</v>
      </c>
      <c r="H32" t="s">
        <v>496</v>
      </c>
      <c r="M32" t="s">
        <v>225</v>
      </c>
      <c r="N32" s="11">
        <f>Dati!Z15</f>
        <v>0.7</v>
      </c>
      <c r="O32" s="11">
        <f>Dati!$AC$26</f>
        <v>0.45</v>
      </c>
      <c r="P32" s="11">
        <f t="shared" si="21"/>
        <v>0.315</v>
      </c>
    </row>
    <row r="33" spans="2:24" x14ac:dyDescent="0.25">
      <c r="B33" t="s">
        <v>497</v>
      </c>
      <c r="C33">
        <f>(250+400)/2</f>
        <v>325</v>
      </c>
      <c r="D33" s="9">
        <f t="shared" si="22"/>
        <v>1120.6896551724139</v>
      </c>
      <c r="E33">
        <v>0.28999999999999998</v>
      </c>
      <c r="F33" s="3">
        <f>E33*Dati!$G$4</f>
        <v>2.8718989999999995</v>
      </c>
      <c r="G33">
        <v>215000</v>
      </c>
      <c r="H33" t="s">
        <v>500</v>
      </c>
      <c r="M33" t="s">
        <v>226</v>
      </c>
      <c r="N33" s="11">
        <f>Dati!Z16</f>
        <v>0.27500000000000002</v>
      </c>
      <c r="O33" s="11">
        <f>Dati!$AC$26</f>
        <v>0.45</v>
      </c>
      <c r="P33" s="11">
        <f t="shared" si="21"/>
        <v>0.12375000000000001</v>
      </c>
    </row>
    <row r="34" spans="2:24" x14ac:dyDescent="0.25">
      <c r="B34" t="s">
        <v>149</v>
      </c>
      <c r="C34">
        <f>AVERAGE(C31:C33)</f>
        <v>475</v>
      </c>
      <c r="D34" s="9">
        <f t="shared" ref="D34:G34" si="23">AVERAGE(D31:D33)</f>
        <v>1685.6312673009588</v>
      </c>
      <c r="E34" s="3">
        <f t="shared" si="23"/>
        <v>0.28333333333333338</v>
      </c>
      <c r="F34" s="3">
        <f t="shared" si="23"/>
        <v>2.8058783333333328</v>
      </c>
      <c r="G34">
        <f t="shared" si="23"/>
        <v>227500</v>
      </c>
      <c r="M34" t="s">
        <v>227</v>
      </c>
      <c r="N34" s="11">
        <f>Dati!Z17</f>
        <v>0.62</v>
      </c>
      <c r="O34" s="11">
        <f>Dati!$AC$26</f>
        <v>0.45</v>
      </c>
      <c r="P34" s="11">
        <f t="shared" si="21"/>
        <v>0.27900000000000003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5" t="s">
        <v>20</v>
      </c>
      <c r="C38" t="s">
        <v>62</v>
      </c>
      <c r="D38" t="s">
        <v>52</v>
      </c>
      <c r="E38" s="63" t="s">
        <v>61</v>
      </c>
      <c r="F38" s="63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5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501</v>
      </c>
      <c r="C40">
        <v>440</v>
      </c>
      <c r="D40" s="9">
        <f>C40/E40</f>
        <v>382.60869565217394</v>
      </c>
      <c r="E40">
        <f>2.3/2</f>
        <v>1.1499999999999999</v>
      </c>
      <c r="F40">
        <f>E40</f>
        <v>1.1499999999999999</v>
      </c>
      <c r="G40">
        <v>500000</v>
      </c>
      <c r="H40" t="s">
        <v>504</v>
      </c>
      <c r="M40" t="s">
        <v>205</v>
      </c>
      <c r="N40" s="3">
        <f>Dati!R32</f>
        <v>0.33003300330033003</v>
      </c>
      <c r="O40" t="s">
        <v>204</v>
      </c>
      <c r="V40" s="11"/>
    </row>
    <row r="41" spans="2:24" x14ac:dyDescent="0.25">
      <c r="B41" t="s">
        <v>113</v>
      </c>
      <c r="C41">
        <f>550/2</f>
        <v>275</v>
      </c>
      <c r="D41" s="9">
        <f t="shared" ref="D41:D42" si="24">C41/E41</f>
        <v>229.16666666666669</v>
      </c>
      <c r="E41">
        <f>2.4/2</f>
        <v>1.2</v>
      </c>
      <c r="F41">
        <f t="shared" ref="F41:F42" si="25">E41</f>
        <v>1.2</v>
      </c>
      <c r="G41">
        <v>450000</v>
      </c>
      <c r="H41" t="s">
        <v>507</v>
      </c>
      <c r="M41" t="s">
        <v>334</v>
      </c>
      <c r="N41" s="3">
        <f>Dati!R33</f>
        <v>0.38703870387038708</v>
      </c>
      <c r="O41" t="s">
        <v>204</v>
      </c>
      <c r="P41" s="12"/>
      <c r="V41" s="11"/>
    </row>
    <row r="42" spans="2:24" x14ac:dyDescent="0.25">
      <c r="B42" t="s">
        <v>508</v>
      </c>
      <c r="C42">
        <f>(210+350)/2</f>
        <v>280</v>
      </c>
      <c r="D42" s="9">
        <f t="shared" si="24"/>
        <v>243.47826086956525</v>
      </c>
      <c r="E42">
        <f>2.3/2</f>
        <v>1.1499999999999999</v>
      </c>
      <c r="F42">
        <f t="shared" si="25"/>
        <v>1.1499999999999999</v>
      </c>
      <c r="G42">
        <v>400000</v>
      </c>
      <c r="H42" t="s">
        <v>511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V42" s="11"/>
    </row>
    <row r="43" spans="2:24" x14ac:dyDescent="0.25">
      <c r="B43" t="s">
        <v>149</v>
      </c>
      <c r="C43" s="9">
        <f>AVERAGE(C40:C42)</f>
        <v>331.66666666666669</v>
      </c>
      <c r="D43" s="9">
        <f t="shared" ref="D43:G43" si="26">AVERAGE(D40:D42)</f>
        <v>285.08454106280197</v>
      </c>
      <c r="E43" s="9">
        <f t="shared" si="26"/>
        <v>1.1666666666666665</v>
      </c>
      <c r="F43" s="9">
        <f t="shared" si="26"/>
        <v>1.1666666666666665</v>
      </c>
      <c r="G43" s="9">
        <f t="shared" si="26"/>
        <v>450000</v>
      </c>
      <c r="H43" s="9"/>
    </row>
    <row r="44" spans="2:24" x14ac:dyDescent="0.25">
      <c r="D44" s="9"/>
      <c r="E44" s="7"/>
      <c r="F44" s="7"/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4" t="s">
        <v>83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5" t="s">
        <v>20</v>
      </c>
      <c r="C48" t="s">
        <v>62</v>
      </c>
      <c r="D48" t="s">
        <v>52</v>
      </c>
      <c r="E48" s="63" t="s">
        <v>61</v>
      </c>
      <c r="F48" s="63"/>
      <c r="G48" t="s">
        <v>22</v>
      </c>
      <c r="H48" t="s">
        <v>42</v>
      </c>
      <c r="M48" t="s">
        <v>200</v>
      </c>
      <c r="N48">
        <v>0</v>
      </c>
      <c r="O48" t="s">
        <v>204</v>
      </c>
      <c r="T48" t="s">
        <v>271</v>
      </c>
      <c r="U48" t="s">
        <v>73</v>
      </c>
      <c r="V48">
        <f>(1000000+1500000)/2</f>
        <v>1250000</v>
      </c>
      <c r="W48">
        <v>15</v>
      </c>
      <c r="X48">
        <f>170/2*1000</f>
        <v>85000</v>
      </c>
    </row>
    <row r="49" spans="2:25" x14ac:dyDescent="0.25">
      <c r="B49" s="65"/>
      <c r="C49" t="s">
        <v>45</v>
      </c>
      <c r="D49" t="s">
        <v>3</v>
      </c>
      <c r="E49" t="s">
        <v>124</v>
      </c>
      <c r="F49" t="s">
        <v>123</v>
      </c>
      <c r="G49" t="s">
        <v>122</v>
      </c>
      <c r="H49" t="s">
        <v>35</v>
      </c>
      <c r="I49" t="s">
        <v>63</v>
      </c>
      <c r="M49" s="7"/>
      <c r="N49" s="7"/>
      <c r="O49" s="7"/>
      <c r="P49" s="12"/>
      <c r="U49" t="s">
        <v>95</v>
      </c>
      <c r="V49">
        <f>(1000000+1500000 )/2</f>
        <v>1250000</v>
      </c>
      <c r="W49">
        <v>15</v>
      </c>
      <c r="X49">
        <f>170/2*1000</f>
        <v>85000</v>
      </c>
      <c r="Y49" s="14"/>
    </row>
    <row r="50" spans="2:25" x14ac:dyDescent="0.25">
      <c r="B50" t="s">
        <v>118</v>
      </c>
      <c r="C50">
        <v>35</v>
      </c>
      <c r="D50" s="9">
        <f>C50/E50</f>
        <v>538.46153846153845</v>
      </c>
      <c r="E50" s="29">
        <f>0.065</f>
        <v>6.5000000000000002E-2</v>
      </c>
      <c r="F50" s="7">
        <f>E50*Dati!$F$5</f>
        <v>2.1664499999999998</v>
      </c>
      <c r="G50">
        <v>675000</v>
      </c>
      <c r="H50" t="s">
        <v>514</v>
      </c>
      <c r="U50" t="s">
        <v>83</v>
      </c>
      <c r="V50">
        <f>(800000 +1200000)/2</f>
        <v>1000000</v>
      </c>
      <c r="W50">
        <v>14</v>
      </c>
      <c r="X50">
        <f>170/2*1000</f>
        <v>85000</v>
      </c>
    </row>
    <row r="51" spans="2:25" x14ac:dyDescent="0.25">
      <c r="B51" t="s">
        <v>515</v>
      </c>
      <c r="C51">
        <v>37.5</v>
      </c>
      <c r="D51" s="9">
        <f t="shared" ref="D51:D52" si="27">C51/E51</f>
        <v>555.55555555555554</v>
      </c>
      <c r="E51">
        <f>(0.055+0.08)/2</f>
        <v>6.7500000000000004E-2</v>
      </c>
      <c r="F51" s="7">
        <f>E51*Dati!$F$5</f>
        <v>2.2497750000000001</v>
      </c>
      <c r="G51">
        <v>650000</v>
      </c>
      <c r="H51" t="s">
        <v>518</v>
      </c>
      <c r="L51" s="4" t="s">
        <v>382</v>
      </c>
      <c r="U51" t="s">
        <v>149</v>
      </c>
      <c r="V51" s="14">
        <f>AVERAGE(V48:V50)</f>
        <v>1166666.6666666667</v>
      </c>
      <c r="W51" s="43">
        <f>AVERAGE(W48:W50)</f>
        <v>14.666666666666666</v>
      </c>
      <c r="X51" s="44">
        <f>AVERAGE(X48:X49)</f>
        <v>85000</v>
      </c>
    </row>
    <row r="52" spans="2:25" x14ac:dyDescent="0.25">
      <c r="B52" t="s">
        <v>519</v>
      </c>
      <c r="C52">
        <v>37.5</v>
      </c>
      <c r="D52" s="9">
        <f t="shared" si="27"/>
        <v>576.92307692307691</v>
      </c>
      <c r="E52" s="29">
        <v>6.5000000000000002E-2</v>
      </c>
      <c r="F52" s="7">
        <f>E52*Dati!$F$5</f>
        <v>2.1664499999999998</v>
      </c>
      <c r="G52">
        <v>700000</v>
      </c>
      <c r="H52" t="s">
        <v>522</v>
      </c>
      <c r="L52" s="4" t="s">
        <v>336</v>
      </c>
      <c r="M52" t="s">
        <v>487</v>
      </c>
    </row>
    <row r="53" spans="2:25" x14ac:dyDescent="0.25">
      <c r="B53" t="s">
        <v>149</v>
      </c>
      <c r="C53" s="9">
        <f>AVERAGE(C50:C52)</f>
        <v>36.666666666666664</v>
      </c>
      <c r="D53" s="9">
        <f t="shared" ref="D53:G53" si="28">AVERAGE(D50:D52)</f>
        <v>556.98005698005693</v>
      </c>
      <c r="E53" s="29">
        <f t="shared" si="28"/>
        <v>6.5833333333333341E-2</v>
      </c>
      <c r="F53" s="9">
        <f t="shared" si="28"/>
        <v>2.1942249999999999</v>
      </c>
      <c r="G53" s="9">
        <f t="shared" si="28"/>
        <v>675000</v>
      </c>
      <c r="H53" s="9"/>
      <c r="M53" t="s">
        <v>73</v>
      </c>
      <c r="N53">
        <f>Dati!R49</f>
        <v>50000</v>
      </c>
    </row>
    <row r="54" spans="2:25" x14ac:dyDescent="0.25">
      <c r="M54" t="s">
        <v>147</v>
      </c>
      <c r="N54">
        <f>Dati!R50</f>
        <v>85000</v>
      </c>
    </row>
    <row r="55" spans="2:25" x14ac:dyDescent="0.25">
      <c r="B55" s="4"/>
      <c r="M55" t="s">
        <v>148</v>
      </c>
      <c r="N55">
        <f>Dati!R51</f>
        <v>95000</v>
      </c>
    </row>
    <row r="56" spans="2:25" x14ac:dyDescent="0.25">
      <c r="C56" s="3"/>
    </row>
    <row r="57" spans="2:25" x14ac:dyDescent="0.25">
      <c r="C57" s="3"/>
    </row>
    <row r="61" spans="2:25" x14ac:dyDescent="0.25">
      <c r="C61" s="11"/>
    </row>
    <row r="62" spans="2:25" x14ac:dyDescent="0.25">
      <c r="C62" s="11"/>
    </row>
  </sheetData>
  <mergeCells count="15">
    <mergeCell ref="B38:B39"/>
    <mergeCell ref="E38:F38"/>
    <mergeCell ref="B48:B49"/>
    <mergeCell ref="E48:F48"/>
    <mergeCell ref="C2:E2"/>
    <mergeCell ref="G2:J2"/>
    <mergeCell ref="B29:B30"/>
    <mergeCell ref="E29:F29"/>
    <mergeCell ref="L2:S2"/>
    <mergeCell ref="U2:AB2"/>
    <mergeCell ref="AA3:AB3"/>
    <mergeCell ref="O3:P3"/>
    <mergeCell ref="U3:V3"/>
    <mergeCell ref="W3:X3"/>
    <mergeCell ref="Y3:Z3"/>
  </mergeCells>
  <conditionalFormatting sqref="E5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7" r:id="rId3" name="Scroll Bar 11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4" name="Scroll Bar 12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5" name="Scroll Bar 13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6" name="Scroll Bar 14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7" name="Scroll Bar 15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8" name="Scroll Bar 16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9" name="Scroll Bar 17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10" name="Scroll Bar 18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5F28-46A3-4835-A26C-1DC7F1C10B00}">
  <dimension ref="B2:Y72"/>
  <sheetViews>
    <sheetView tabSelected="1" zoomScale="80" zoomScaleNormal="80" workbookViewId="0">
      <selection activeCell="D2" sqref="D2:D15"/>
    </sheetView>
  </sheetViews>
  <sheetFormatPr defaultRowHeight="15" x14ac:dyDescent="0.25"/>
  <cols>
    <col min="1" max="1" width="2.85546875" customWidth="1"/>
    <col min="2" max="2" width="25" bestFit="1" customWidth="1"/>
    <col min="3" max="3" width="16" bestFit="1" customWidth="1"/>
    <col min="4" max="4" width="12" bestFit="1" customWidth="1"/>
    <col min="5" max="10" width="12" customWidth="1"/>
    <col min="19" max="20" width="9.140625" customWidth="1"/>
  </cols>
  <sheetData>
    <row r="2" spans="2:25" s="4" customFormat="1" ht="18" x14ac:dyDescent="0.35">
      <c r="B2" s="67" t="s">
        <v>173</v>
      </c>
      <c r="C2" s="4" t="s">
        <v>575</v>
      </c>
      <c r="D2" s="53" t="s">
        <v>182</v>
      </c>
      <c r="E2" s="4" t="s">
        <v>143</v>
      </c>
      <c r="F2" s="4" t="s">
        <v>190</v>
      </c>
      <c r="H2" s="4" t="s">
        <v>4</v>
      </c>
      <c r="I2" s="53" t="s">
        <v>576</v>
      </c>
      <c r="J2" s="53" t="s">
        <v>605</v>
      </c>
      <c r="K2" s="53" t="s">
        <v>606</v>
      </c>
      <c r="L2" s="4" t="s">
        <v>607</v>
      </c>
      <c r="M2" s="53" t="s">
        <v>364</v>
      </c>
      <c r="N2" s="53" t="s">
        <v>603</v>
      </c>
      <c r="O2" s="53" t="s">
        <v>602</v>
      </c>
      <c r="P2" s="54"/>
      <c r="Q2" s="4" t="s">
        <v>388</v>
      </c>
      <c r="R2" s="28" t="s">
        <v>389</v>
      </c>
      <c r="S2" s="64" t="s">
        <v>166</v>
      </c>
      <c r="T2" s="64"/>
      <c r="U2" s="64" t="s">
        <v>485</v>
      </c>
      <c r="V2" s="64"/>
    </row>
    <row r="3" spans="2:25" x14ac:dyDescent="0.25">
      <c r="B3" s="67"/>
      <c r="C3" t="s">
        <v>18</v>
      </c>
      <c r="D3" t="s">
        <v>145</v>
      </c>
      <c r="E3" t="s">
        <v>180</v>
      </c>
      <c r="F3" t="s">
        <v>664</v>
      </c>
      <c r="H3" t="s">
        <v>5</v>
      </c>
      <c r="I3" t="s">
        <v>145</v>
      </c>
      <c r="J3" t="s">
        <v>383</v>
      </c>
      <c r="K3" t="s">
        <v>383</v>
      </c>
      <c r="L3" s="25" t="s">
        <v>383</v>
      </c>
      <c r="M3" t="s">
        <v>601</v>
      </c>
      <c r="N3" t="s">
        <v>604</v>
      </c>
      <c r="O3" s="25" t="s">
        <v>384</v>
      </c>
      <c r="Q3" s="25" t="s">
        <v>171</v>
      </c>
      <c r="R3" t="s">
        <v>171</v>
      </c>
      <c r="S3" t="s">
        <v>171</v>
      </c>
      <c r="T3" t="s">
        <v>122</v>
      </c>
      <c r="U3" t="s">
        <v>171</v>
      </c>
      <c r="V3" t="s">
        <v>122</v>
      </c>
      <c r="Y3" s="8"/>
    </row>
    <row r="4" spans="2:25" x14ac:dyDescent="0.25">
      <c r="B4" t="s">
        <v>175</v>
      </c>
      <c r="C4">
        <f>D46</f>
        <v>23</v>
      </c>
      <c r="D4" s="11">
        <v>0.9</v>
      </c>
      <c r="E4" s="11" t="s">
        <v>11</v>
      </c>
      <c r="F4" s="7">
        <f>$J$18/D4</f>
        <v>11111.111111111111</v>
      </c>
      <c r="G4" s="7"/>
      <c r="H4" s="7">
        <f>F4/C35</f>
        <v>12771.392081736909</v>
      </c>
      <c r="I4" s="12">
        <f>E35</f>
        <v>0.78300000000000003</v>
      </c>
      <c r="J4" s="7">
        <f>F4*G35</f>
        <v>444.30531853661995</v>
      </c>
      <c r="K4" s="9">
        <f>F4*H35</f>
        <v>2962.0354569107999</v>
      </c>
      <c r="L4" s="7">
        <f>J4+K4</f>
        <v>3406.3407754474197</v>
      </c>
      <c r="M4" s="7">
        <f>C46</f>
        <v>1200</v>
      </c>
      <c r="N4" s="7">
        <f>(L4+M4/$J$19)/1000</f>
        <v>3.4663407754474198</v>
      </c>
      <c r="O4" s="7">
        <f>N4*$J$19</f>
        <v>69.3268155089484</v>
      </c>
      <c r="P4" s="7"/>
      <c r="Q4" s="9">
        <f>F4*F18</f>
        <v>2019.5696297119086</v>
      </c>
      <c r="R4" s="7">
        <f>F46</f>
        <v>225</v>
      </c>
      <c r="S4">
        <f>T4/$J$19</f>
        <v>175</v>
      </c>
      <c r="T4">
        <f>E46</f>
        <v>3500</v>
      </c>
      <c r="U4" s="15">
        <f>S4+R4+Q4</f>
        <v>2419.5696297119084</v>
      </c>
      <c r="V4" s="15">
        <f>U4*$J$19</f>
        <v>48391.392594238168</v>
      </c>
    </row>
    <row r="5" spans="2:25" x14ac:dyDescent="0.25">
      <c r="B5" t="s">
        <v>177</v>
      </c>
      <c r="C5">
        <f t="shared" ref="C5:C7" si="0">D47</f>
        <v>27</v>
      </c>
      <c r="D5" s="11">
        <v>1</v>
      </c>
      <c r="E5" s="11" t="s">
        <v>181</v>
      </c>
      <c r="F5" s="7">
        <f t="shared" ref="F5:F15" si="1">$J$18/D5</f>
        <v>10000</v>
      </c>
      <c r="G5" s="7"/>
      <c r="H5" s="7">
        <f t="shared" ref="H5:H8" si="2">F5/C36</f>
        <v>10989.010989010989</v>
      </c>
      <c r="I5" s="12">
        <f t="shared" ref="I5:I8" si="3">E36</f>
        <v>0.91</v>
      </c>
      <c r="J5" s="7">
        <f>F5*G36</f>
        <v>575</v>
      </c>
      <c r="K5">
        <f>F5*H36</f>
        <v>2050</v>
      </c>
      <c r="L5" s="7">
        <f t="shared" ref="L5:L15" si="4">J5+K5</f>
        <v>2625</v>
      </c>
      <c r="M5" s="7">
        <f t="shared" ref="M5:M6" si="5">C47</f>
        <v>950</v>
      </c>
      <c r="N5" s="7">
        <f t="shared" ref="N5:N15" si="6">(L5+M5/$J$19)/1000</f>
        <v>2.6724999999999999</v>
      </c>
      <c r="O5" s="7">
        <f t="shared" ref="O5:O15" si="7">N5*$J$19</f>
        <v>53.449999999999996</v>
      </c>
      <c r="P5" s="7"/>
      <c r="Q5" s="9">
        <f>F5*F25</f>
        <v>990.61522419186645</v>
      </c>
      <c r="R5" s="7">
        <f>F47</f>
        <v>200</v>
      </c>
      <c r="S5">
        <f t="shared" ref="S5:S15" si="8">T5/$J$19</f>
        <v>137.5</v>
      </c>
      <c r="T5">
        <f>E47</f>
        <v>2750</v>
      </c>
      <c r="U5" s="15">
        <f t="shared" ref="U5:U15" si="9">S5+R5+Q5</f>
        <v>1328.1152241918664</v>
      </c>
      <c r="V5" s="15">
        <f t="shared" ref="V5:V15" si="10">U5*$J$19</f>
        <v>26562.304483837328</v>
      </c>
    </row>
    <row r="6" spans="2:25" x14ac:dyDescent="0.25">
      <c r="B6" t="s">
        <v>176</v>
      </c>
      <c r="C6">
        <f t="shared" si="0"/>
        <v>10</v>
      </c>
      <c r="D6" s="11">
        <f>D37</f>
        <v>0.9</v>
      </c>
      <c r="E6" s="11" t="s">
        <v>172</v>
      </c>
      <c r="F6" s="7">
        <f t="shared" si="1"/>
        <v>11111.111111111111</v>
      </c>
      <c r="G6" s="7"/>
      <c r="H6" s="7">
        <f t="shared" si="2"/>
        <v>13071.895424836603</v>
      </c>
      <c r="I6" s="12">
        <f t="shared" si="3"/>
        <v>0.76500000000000001</v>
      </c>
      <c r="J6" s="7">
        <f>F6*G37</f>
        <v>422.22222222222223</v>
      </c>
      <c r="K6">
        <v>0</v>
      </c>
      <c r="L6" s="7">
        <f t="shared" si="4"/>
        <v>422.22222222222223</v>
      </c>
      <c r="M6" s="7">
        <f t="shared" si="5"/>
        <v>650</v>
      </c>
      <c r="N6" s="7">
        <f t="shared" si="6"/>
        <v>0.45472222222222225</v>
      </c>
      <c r="O6" s="7">
        <f t="shared" si="7"/>
        <v>9.094444444444445</v>
      </c>
      <c r="P6" s="7"/>
      <c r="Q6" s="9">
        <f>F6*F24</f>
        <v>680.27210884353735</v>
      </c>
      <c r="R6" s="7">
        <f>F48</f>
        <v>300</v>
      </c>
      <c r="S6">
        <f t="shared" si="8"/>
        <v>150</v>
      </c>
      <c r="T6">
        <f>E48</f>
        <v>3000</v>
      </c>
      <c r="U6" s="15">
        <f t="shared" si="9"/>
        <v>1130.2721088435374</v>
      </c>
      <c r="V6" s="15">
        <f t="shared" si="10"/>
        <v>22605.442176870747</v>
      </c>
      <c r="Y6" s="8"/>
    </row>
    <row r="7" spans="2:25" ht="15" customHeight="1" x14ac:dyDescent="0.25">
      <c r="B7" s="60" t="s">
        <v>673</v>
      </c>
      <c r="C7">
        <f t="shared" si="0"/>
        <v>7.5</v>
      </c>
      <c r="D7" s="11">
        <v>1</v>
      </c>
      <c r="E7" s="11" t="s">
        <v>196</v>
      </c>
      <c r="F7" s="7">
        <f t="shared" si="1"/>
        <v>10000</v>
      </c>
      <c r="G7" s="7"/>
      <c r="H7" s="7">
        <f t="shared" si="2"/>
        <v>20000</v>
      </c>
      <c r="I7" s="12">
        <f t="shared" si="3"/>
        <v>0.5</v>
      </c>
      <c r="J7" s="7">
        <f>F7*G38</f>
        <v>2150</v>
      </c>
      <c r="K7">
        <v>0</v>
      </c>
      <c r="L7" s="7">
        <f t="shared" si="4"/>
        <v>2150</v>
      </c>
      <c r="M7" s="7">
        <f>C49</f>
        <v>225</v>
      </c>
      <c r="N7" s="7">
        <f t="shared" si="6"/>
        <v>2.1612499999999999</v>
      </c>
      <c r="O7" s="7">
        <f t="shared" si="7"/>
        <v>43.224999999999994</v>
      </c>
      <c r="P7" s="7"/>
      <c r="Q7" s="9">
        <f>F7*F19</f>
        <v>3100</v>
      </c>
      <c r="R7" s="7">
        <f>F49</f>
        <v>30</v>
      </c>
      <c r="S7">
        <f t="shared" si="8"/>
        <v>50</v>
      </c>
      <c r="T7">
        <f>E49</f>
        <v>1000</v>
      </c>
      <c r="U7" s="15">
        <f t="shared" si="9"/>
        <v>3180</v>
      </c>
      <c r="V7" s="15">
        <f t="shared" si="10"/>
        <v>63600</v>
      </c>
      <c r="Y7" s="8"/>
    </row>
    <row r="8" spans="2:25" ht="21.75" customHeight="1" x14ac:dyDescent="0.25">
      <c r="B8" s="60" t="s">
        <v>674</v>
      </c>
      <c r="C8">
        <f>D49</f>
        <v>7.5</v>
      </c>
      <c r="D8" s="11">
        <v>1</v>
      </c>
      <c r="E8" t="s">
        <v>194</v>
      </c>
      <c r="F8" s="7">
        <f t="shared" si="1"/>
        <v>10000</v>
      </c>
      <c r="G8" s="7"/>
      <c r="H8" s="7">
        <f t="shared" si="2"/>
        <v>11111.111111111111</v>
      </c>
      <c r="I8" s="12">
        <f t="shared" si="3"/>
        <v>0.9</v>
      </c>
      <c r="J8" s="7">
        <f>F8*G39</f>
        <v>550</v>
      </c>
      <c r="K8">
        <v>0</v>
      </c>
      <c r="L8" s="7">
        <f t="shared" si="4"/>
        <v>550</v>
      </c>
      <c r="M8" s="7">
        <f>C49</f>
        <v>225</v>
      </c>
      <c r="N8" s="7">
        <f t="shared" si="6"/>
        <v>0.56125000000000003</v>
      </c>
      <c r="O8" s="7">
        <f t="shared" si="7"/>
        <v>11.225000000000001</v>
      </c>
      <c r="P8" s="7"/>
      <c r="Q8" s="9">
        <f>F8*F20</f>
        <v>2400</v>
      </c>
      <c r="R8" s="7">
        <f>F49</f>
        <v>30</v>
      </c>
      <c r="S8">
        <f t="shared" si="8"/>
        <v>50</v>
      </c>
      <c r="T8">
        <f>E49</f>
        <v>1000</v>
      </c>
      <c r="U8" s="15">
        <f t="shared" si="9"/>
        <v>2480</v>
      </c>
      <c r="V8" s="15">
        <f t="shared" si="10"/>
        <v>49600</v>
      </c>
      <c r="Y8" s="8"/>
    </row>
    <row r="9" spans="2:25" x14ac:dyDescent="0.25">
      <c r="B9" s="14" t="s">
        <v>675</v>
      </c>
      <c r="C9">
        <f>D50</f>
        <v>3</v>
      </c>
      <c r="D9" s="21">
        <f>C28</f>
        <v>3</v>
      </c>
      <c r="E9" s="11" t="s">
        <v>195</v>
      </c>
      <c r="F9" s="7">
        <f t="shared" si="1"/>
        <v>3333.3333333333335</v>
      </c>
      <c r="G9" s="7"/>
      <c r="H9" s="7">
        <f>F9/C38</f>
        <v>6666.666666666667</v>
      </c>
      <c r="I9" s="12">
        <f>E38</f>
        <v>0.5</v>
      </c>
      <c r="J9" s="7">
        <f>F9*G38</f>
        <v>716.66666666666674</v>
      </c>
      <c r="K9">
        <v>0</v>
      </c>
      <c r="L9" s="7">
        <f t="shared" si="4"/>
        <v>716.66666666666674</v>
      </c>
      <c r="M9" s="7">
        <f>C50</f>
        <v>1400</v>
      </c>
      <c r="N9" s="7">
        <f t="shared" si="6"/>
        <v>0.78666666666666674</v>
      </c>
      <c r="O9" s="7">
        <f t="shared" si="7"/>
        <v>15.733333333333334</v>
      </c>
      <c r="P9" s="7"/>
      <c r="Q9" s="9">
        <f>F9*F19</f>
        <v>1033.3333333333335</v>
      </c>
      <c r="R9" s="7">
        <f>F50</f>
        <v>150</v>
      </c>
      <c r="S9">
        <f t="shared" si="8"/>
        <v>575</v>
      </c>
      <c r="T9">
        <f>E50</f>
        <v>11500</v>
      </c>
      <c r="U9" s="15">
        <f t="shared" si="9"/>
        <v>1758.3333333333335</v>
      </c>
      <c r="V9" s="15">
        <f t="shared" si="10"/>
        <v>35166.666666666672</v>
      </c>
      <c r="Y9" s="8"/>
    </row>
    <row r="10" spans="2:25" x14ac:dyDescent="0.25">
      <c r="B10" s="14" t="s">
        <v>676</v>
      </c>
      <c r="C10">
        <f>D50</f>
        <v>3</v>
      </c>
      <c r="D10">
        <f>C28</f>
        <v>3</v>
      </c>
      <c r="E10" t="s">
        <v>194</v>
      </c>
      <c r="F10" s="7">
        <f t="shared" si="1"/>
        <v>3333.3333333333335</v>
      </c>
      <c r="G10" s="7"/>
      <c r="H10" s="7">
        <f>F10/C39</f>
        <v>3703.7037037037039</v>
      </c>
      <c r="I10" s="12">
        <f>E39</f>
        <v>0.9</v>
      </c>
      <c r="J10" s="7">
        <f>F10*G39</f>
        <v>183.33333333333334</v>
      </c>
      <c r="K10">
        <v>0</v>
      </c>
      <c r="L10" s="7">
        <f t="shared" si="4"/>
        <v>183.33333333333334</v>
      </c>
      <c r="M10" s="7">
        <f>C50</f>
        <v>1400</v>
      </c>
      <c r="N10" s="7">
        <f t="shared" si="6"/>
        <v>0.25333333333333335</v>
      </c>
      <c r="O10" s="7">
        <f t="shared" si="7"/>
        <v>5.0666666666666673</v>
      </c>
      <c r="P10" s="7"/>
      <c r="Q10" s="9">
        <f>F10*F20</f>
        <v>800</v>
      </c>
      <c r="R10" s="7">
        <f>F50</f>
        <v>150</v>
      </c>
      <c r="S10">
        <f t="shared" si="8"/>
        <v>575</v>
      </c>
      <c r="T10">
        <f>E50</f>
        <v>11500</v>
      </c>
      <c r="U10" s="15">
        <f t="shared" si="9"/>
        <v>1525</v>
      </c>
      <c r="V10" s="15">
        <f t="shared" si="10"/>
        <v>30500</v>
      </c>
      <c r="Y10" s="8"/>
    </row>
    <row r="11" spans="2:25" x14ac:dyDescent="0.25">
      <c r="B11" s="14" t="s">
        <v>677</v>
      </c>
      <c r="C11">
        <f>D51</f>
        <v>2</v>
      </c>
      <c r="D11">
        <f>C29</f>
        <v>4.5</v>
      </c>
      <c r="E11" s="11" t="s">
        <v>195</v>
      </c>
      <c r="F11" s="7">
        <f t="shared" si="1"/>
        <v>2222.2222222222222</v>
      </c>
      <c r="G11" s="7"/>
      <c r="H11" s="7">
        <f>F11/C38</f>
        <v>4444.4444444444443</v>
      </c>
      <c r="I11" s="12">
        <f>E38</f>
        <v>0.5</v>
      </c>
      <c r="J11" s="7">
        <f>F11*G38</f>
        <v>477.77777777777777</v>
      </c>
      <c r="K11">
        <v>0</v>
      </c>
      <c r="L11" s="7">
        <f t="shared" si="4"/>
        <v>477.77777777777777</v>
      </c>
      <c r="M11" s="7">
        <f>C51</f>
        <v>2000</v>
      </c>
      <c r="N11" s="7">
        <f t="shared" si="6"/>
        <v>0.57777777777777783</v>
      </c>
      <c r="O11" s="7">
        <f t="shared" si="7"/>
        <v>11.555555555555557</v>
      </c>
      <c r="P11" s="7"/>
      <c r="Q11" s="9">
        <f>F11*F19</f>
        <v>688.88888888888891</v>
      </c>
      <c r="R11" s="7">
        <f>F51</f>
        <v>150</v>
      </c>
      <c r="S11">
        <f t="shared" si="8"/>
        <v>1200</v>
      </c>
      <c r="T11">
        <f>E51</f>
        <v>24000</v>
      </c>
      <c r="U11" s="15">
        <f t="shared" si="9"/>
        <v>2038.8888888888889</v>
      </c>
      <c r="V11" s="15">
        <f t="shared" si="10"/>
        <v>40777.777777777781</v>
      </c>
      <c r="Y11" s="8"/>
    </row>
    <row r="12" spans="2:25" x14ac:dyDescent="0.25">
      <c r="B12" s="14" t="s">
        <v>678</v>
      </c>
      <c r="C12">
        <f>D51</f>
        <v>2</v>
      </c>
      <c r="D12">
        <f>C29</f>
        <v>4.5</v>
      </c>
      <c r="E12" t="s">
        <v>194</v>
      </c>
      <c r="F12" s="7">
        <f t="shared" si="1"/>
        <v>2222.2222222222222</v>
      </c>
      <c r="G12" s="7"/>
      <c r="H12" s="7">
        <f>F12/C39</f>
        <v>2469.1358024691358</v>
      </c>
      <c r="I12" s="12">
        <f>E39</f>
        <v>0.9</v>
      </c>
      <c r="J12" s="7">
        <f>F12*G39</f>
        <v>122.22222222222221</v>
      </c>
      <c r="K12">
        <v>0</v>
      </c>
      <c r="L12" s="7">
        <f t="shared" si="4"/>
        <v>122.22222222222221</v>
      </c>
      <c r="M12" s="7">
        <f>C51</f>
        <v>2000</v>
      </c>
      <c r="N12" s="7">
        <f t="shared" si="6"/>
        <v>0.22222222222222224</v>
      </c>
      <c r="O12" s="7">
        <f t="shared" si="7"/>
        <v>4.4444444444444446</v>
      </c>
      <c r="P12" s="7"/>
      <c r="Q12" s="9">
        <f>F12*F20</f>
        <v>533.33333333333326</v>
      </c>
      <c r="R12" s="7">
        <f>F51</f>
        <v>150</v>
      </c>
      <c r="S12">
        <f t="shared" si="8"/>
        <v>1200</v>
      </c>
      <c r="T12">
        <f>E51</f>
        <v>24000</v>
      </c>
      <c r="U12" s="15">
        <f t="shared" si="9"/>
        <v>1883.3333333333333</v>
      </c>
      <c r="V12" s="15">
        <f t="shared" si="10"/>
        <v>37666.666666666664</v>
      </c>
      <c r="Y12" s="8"/>
    </row>
    <row r="13" spans="2:25" x14ac:dyDescent="0.25">
      <c r="B13" s="14" t="s">
        <v>679</v>
      </c>
      <c r="C13">
        <f>D52</f>
        <v>27</v>
      </c>
      <c r="D13" s="11">
        <v>0.9</v>
      </c>
      <c r="E13" s="11" t="s">
        <v>541</v>
      </c>
      <c r="F13" s="7">
        <f t="shared" si="1"/>
        <v>11111.111111111111</v>
      </c>
      <c r="G13" s="7"/>
      <c r="H13" s="7">
        <f>F13/C40</f>
        <v>15873.015873015875</v>
      </c>
      <c r="I13" s="12">
        <f t="shared" ref="I13:I15" si="11">E40</f>
        <v>0.63</v>
      </c>
      <c r="J13" s="7">
        <f>F13*G40</f>
        <v>3667.0333700036672</v>
      </c>
      <c r="K13">
        <v>0</v>
      </c>
      <c r="L13" s="7">
        <f t="shared" si="4"/>
        <v>3667.0333700036672</v>
      </c>
      <c r="M13" s="7">
        <f t="shared" ref="M13" si="12">C52</f>
        <v>1200</v>
      </c>
      <c r="N13" s="7">
        <f t="shared" si="6"/>
        <v>3.7270333700036673</v>
      </c>
      <c r="O13" s="7">
        <f t="shared" si="7"/>
        <v>74.540667400073346</v>
      </c>
      <c r="P13" s="7"/>
      <c r="Q13" s="9">
        <f t="shared" ref="Q13:Q15" si="13">F13*F21</f>
        <v>666.73334000066677</v>
      </c>
      <c r="R13" s="7">
        <f>F52</f>
        <v>509.09090909090907</v>
      </c>
      <c r="S13">
        <f t="shared" si="8"/>
        <v>350</v>
      </c>
      <c r="T13">
        <f>E52</f>
        <v>7000</v>
      </c>
      <c r="U13" s="15">
        <f t="shared" si="9"/>
        <v>1525.8242490915759</v>
      </c>
      <c r="V13" s="15">
        <f t="shared" si="10"/>
        <v>30516.48498183152</v>
      </c>
      <c r="Y13" s="8"/>
    </row>
    <row r="14" spans="2:25" x14ac:dyDescent="0.25">
      <c r="B14" s="14" t="s">
        <v>680</v>
      </c>
      <c r="C14">
        <f>D52</f>
        <v>27</v>
      </c>
      <c r="D14" s="11">
        <v>0.9</v>
      </c>
      <c r="E14" s="11" t="s">
        <v>542</v>
      </c>
      <c r="F14" s="7">
        <f t="shared" si="1"/>
        <v>11111.111111111111</v>
      </c>
      <c r="G14" s="7"/>
      <c r="H14" s="7">
        <f t="shared" ref="H14:H15" si="14">F14/C41</f>
        <v>40404.040404040403</v>
      </c>
      <c r="I14" s="12">
        <f t="shared" si="11"/>
        <v>0.24750000000000003</v>
      </c>
      <c r="J14" s="7">
        <f>F14*G41</f>
        <v>4300.4300430043013</v>
      </c>
      <c r="K14">
        <v>0</v>
      </c>
      <c r="L14" s="7">
        <f t="shared" si="4"/>
        <v>4300.4300430043013</v>
      </c>
      <c r="M14" s="7">
        <f>C52</f>
        <v>1200</v>
      </c>
      <c r="N14" s="7">
        <f t="shared" si="6"/>
        <v>4.3604300430043015</v>
      </c>
      <c r="O14" s="7">
        <f t="shared" si="7"/>
        <v>87.208600860086023</v>
      </c>
      <c r="P14" s="7"/>
      <c r="Q14" s="9">
        <f t="shared" si="13"/>
        <v>6667.333400006667</v>
      </c>
      <c r="R14" s="7">
        <f>F52</f>
        <v>509.09090909090907</v>
      </c>
      <c r="S14">
        <f t="shared" si="8"/>
        <v>350</v>
      </c>
      <c r="T14">
        <f>E52</f>
        <v>7000</v>
      </c>
      <c r="U14" s="15">
        <f t="shared" si="9"/>
        <v>7526.424309097576</v>
      </c>
      <c r="V14" s="15">
        <f t="shared" si="10"/>
        <v>150528.48618195154</v>
      </c>
      <c r="Y14" s="8"/>
    </row>
    <row r="15" spans="2:25" x14ac:dyDescent="0.25">
      <c r="B15" s="14" t="s">
        <v>681</v>
      </c>
      <c r="C15">
        <f>D52</f>
        <v>27</v>
      </c>
      <c r="D15" s="11">
        <v>0.9</v>
      </c>
      <c r="E15" s="11" t="s">
        <v>543</v>
      </c>
      <c r="F15" s="7">
        <f t="shared" si="1"/>
        <v>11111.111111111111</v>
      </c>
      <c r="G15" s="7"/>
      <c r="H15" s="7">
        <f t="shared" si="14"/>
        <v>17921.146953405019</v>
      </c>
      <c r="I15" s="12">
        <f t="shared" si="11"/>
        <v>0.55800000000000005</v>
      </c>
      <c r="J15" s="7">
        <f>F15*G42</f>
        <v>1000.1000100010001</v>
      </c>
      <c r="K15">
        <v>0</v>
      </c>
      <c r="L15" s="7">
        <f t="shared" si="4"/>
        <v>1000.1000100010001</v>
      </c>
      <c r="M15" s="7">
        <f>C52</f>
        <v>1200</v>
      </c>
      <c r="N15" s="7">
        <f t="shared" si="6"/>
        <v>1.0601000100010001</v>
      </c>
      <c r="O15" s="7">
        <f t="shared" si="7"/>
        <v>21.202000200020002</v>
      </c>
      <c r="P15" s="7"/>
      <c r="Q15" s="9">
        <f t="shared" si="13"/>
        <v>5000.500050005001</v>
      </c>
      <c r="R15" s="7">
        <f>F52</f>
        <v>509.09090909090907</v>
      </c>
      <c r="S15">
        <f t="shared" si="8"/>
        <v>350</v>
      </c>
      <c r="T15">
        <f>E52</f>
        <v>7000</v>
      </c>
      <c r="U15" s="15">
        <f t="shared" si="9"/>
        <v>5859.59095909591</v>
      </c>
      <c r="V15" s="15">
        <f t="shared" si="10"/>
        <v>117191.8191819182</v>
      </c>
      <c r="Y15" s="8"/>
    </row>
    <row r="17" spans="2:20" x14ac:dyDescent="0.25">
      <c r="B17" s="4" t="s">
        <v>151</v>
      </c>
      <c r="I17" s="23" t="s">
        <v>179</v>
      </c>
      <c r="S17" s="16"/>
      <c r="T17" s="11"/>
    </row>
    <row r="18" spans="2:20" x14ac:dyDescent="0.25">
      <c r="B18" t="s">
        <v>73</v>
      </c>
      <c r="C18">
        <f>Dati!B13</f>
        <v>1.8</v>
      </c>
      <c r="D18" t="s">
        <v>7</v>
      </c>
      <c r="E18" s="17" t="s">
        <v>156</v>
      </c>
      <c r="F18" s="7">
        <f>Dati!G13</f>
        <v>0.18176126667407178</v>
      </c>
      <c r="G18" t="s">
        <v>9</v>
      </c>
      <c r="I18" t="s">
        <v>663</v>
      </c>
      <c r="J18" s="42">
        <f>K18*1000</f>
        <v>10000</v>
      </c>
      <c r="K18">
        <v>10</v>
      </c>
      <c r="M18" t="s">
        <v>553</v>
      </c>
      <c r="R18" s="16"/>
    </row>
    <row r="19" spans="2:20" x14ac:dyDescent="0.25">
      <c r="B19" t="s">
        <v>230</v>
      </c>
      <c r="C19">
        <f>Dati!B14</f>
        <v>0.31</v>
      </c>
      <c r="D19" t="s">
        <v>9</v>
      </c>
      <c r="E19" s="17" t="s">
        <v>156</v>
      </c>
      <c r="F19" s="7">
        <f>Dati!G14</f>
        <v>0.31</v>
      </c>
      <c r="G19" t="s">
        <v>9</v>
      </c>
      <c r="I19" t="s">
        <v>153</v>
      </c>
      <c r="J19" s="42">
        <v>20</v>
      </c>
      <c r="K19">
        <v>1</v>
      </c>
      <c r="M19" t="s">
        <v>437</v>
      </c>
      <c r="R19" s="16"/>
    </row>
    <row r="20" spans="2:20" x14ac:dyDescent="0.25">
      <c r="B20" t="s">
        <v>231</v>
      </c>
      <c r="C20">
        <f>Dati!B15</f>
        <v>0.24</v>
      </c>
      <c r="D20" t="s">
        <v>9</v>
      </c>
      <c r="E20" s="17" t="s">
        <v>156</v>
      </c>
      <c r="F20" s="7">
        <f>Dati!G15</f>
        <v>0.24</v>
      </c>
      <c r="G20" t="s">
        <v>9</v>
      </c>
    </row>
    <row r="21" spans="2:20" x14ac:dyDescent="0.25">
      <c r="B21" t="s">
        <v>232</v>
      </c>
      <c r="C21">
        <f>Dati!B16</f>
        <v>2</v>
      </c>
      <c r="D21" t="s">
        <v>8</v>
      </c>
      <c r="E21" s="17" t="s">
        <v>156</v>
      </c>
      <c r="F21" s="7">
        <f>Dati!G16</f>
        <v>6.0006000600060012E-2</v>
      </c>
      <c r="G21" t="s">
        <v>9</v>
      </c>
    </row>
    <row r="22" spans="2:20" x14ac:dyDescent="0.25">
      <c r="B22" t="s">
        <v>291</v>
      </c>
      <c r="C22">
        <f>Dati!B17</f>
        <v>20</v>
      </c>
      <c r="D22" t="s">
        <v>8</v>
      </c>
      <c r="E22" s="17" t="s">
        <v>156</v>
      </c>
      <c r="F22" s="7">
        <f>Dati!G17</f>
        <v>0.60006000600060005</v>
      </c>
      <c r="G22" t="s">
        <v>9</v>
      </c>
    </row>
    <row r="23" spans="2:20" x14ac:dyDescent="0.25">
      <c r="B23" t="s">
        <v>292</v>
      </c>
      <c r="C23">
        <f>Dati!B18</f>
        <v>15</v>
      </c>
      <c r="D23" t="s">
        <v>8</v>
      </c>
      <c r="E23" s="17" t="s">
        <v>156</v>
      </c>
      <c r="F23" s="7">
        <f>Dati!G18</f>
        <v>0.45004500450045004</v>
      </c>
      <c r="G23" t="s">
        <v>9</v>
      </c>
    </row>
    <row r="24" spans="2:20" x14ac:dyDescent="0.25">
      <c r="B24" t="s">
        <v>172</v>
      </c>
      <c r="C24">
        <f>Dati!B19</f>
        <v>4.5</v>
      </c>
      <c r="D24" t="s">
        <v>189</v>
      </c>
      <c r="E24" s="17" t="s">
        <v>156</v>
      </c>
      <c r="F24" s="7">
        <f>Dati!G19</f>
        <v>6.1224489795918359E-2</v>
      </c>
      <c r="G24" t="s">
        <v>9</v>
      </c>
    </row>
    <row r="25" spans="2:20" x14ac:dyDescent="0.25">
      <c r="B25" t="s">
        <v>185</v>
      </c>
      <c r="C25">
        <f>Dati!B20</f>
        <v>0.95</v>
      </c>
      <c r="D25" t="s">
        <v>188</v>
      </c>
      <c r="E25" s="17" t="s">
        <v>156</v>
      </c>
      <c r="F25" s="7">
        <f>Dati!G20</f>
        <v>9.9061522419186643E-2</v>
      </c>
      <c r="G25" t="s">
        <v>9</v>
      </c>
    </row>
    <row r="27" spans="2:20" x14ac:dyDescent="0.25">
      <c r="B27" s="4" t="s">
        <v>539</v>
      </c>
    </row>
    <row r="28" spans="2:20" x14ac:dyDescent="0.25">
      <c r="B28" t="s">
        <v>183</v>
      </c>
      <c r="C28" s="42">
        <f>D28/10</f>
        <v>3</v>
      </c>
      <c r="D28">
        <v>30</v>
      </c>
    </row>
    <row r="29" spans="2:20" x14ac:dyDescent="0.25">
      <c r="B29" t="s">
        <v>184</v>
      </c>
      <c r="C29" s="42">
        <f>D29/10</f>
        <v>4.5</v>
      </c>
      <c r="D29">
        <v>45</v>
      </c>
    </row>
    <row r="31" spans="2:20" s="13" customFormat="1" x14ac:dyDescent="0.25"/>
    <row r="33" spans="2:8" x14ac:dyDescent="0.25">
      <c r="C33" s="64" t="s">
        <v>545</v>
      </c>
      <c r="D33" s="64"/>
      <c r="E33" s="28"/>
      <c r="F33" s="28"/>
      <c r="G33" s="64" t="s">
        <v>548</v>
      </c>
      <c r="H33" s="64"/>
    </row>
    <row r="34" spans="2:8" x14ac:dyDescent="0.25">
      <c r="B34" s="4" t="s">
        <v>127</v>
      </c>
      <c r="C34" s="4" t="s">
        <v>546</v>
      </c>
      <c r="D34" s="4" t="s">
        <v>547</v>
      </c>
      <c r="E34" s="4" t="s">
        <v>552</v>
      </c>
      <c r="F34" s="4"/>
      <c r="G34" s="4" t="s">
        <v>546</v>
      </c>
      <c r="H34" s="4" t="s">
        <v>547</v>
      </c>
    </row>
    <row r="35" spans="2:8" x14ac:dyDescent="0.25">
      <c r="B35" t="s">
        <v>11</v>
      </c>
      <c r="C35" s="11">
        <f>Dati!Z12</f>
        <v>0.87</v>
      </c>
      <c r="D35" s="11">
        <f>Dati!Z27</f>
        <v>0.9</v>
      </c>
      <c r="E35" s="11">
        <f>C35*D35</f>
        <v>0.78300000000000003</v>
      </c>
      <c r="F35" s="11"/>
      <c r="G35" s="3">
        <f>Dati!R29</f>
        <v>3.9987478668295794E-2</v>
      </c>
      <c r="H35" s="3">
        <f>Dati!R40</f>
        <v>0.26658319112197199</v>
      </c>
    </row>
    <row r="36" spans="2:8" x14ac:dyDescent="0.25">
      <c r="B36" t="s">
        <v>174</v>
      </c>
      <c r="C36" s="11">
        <f>Dati!Z18</f>
        <v>0.91</v>
      </c>
      <c r="D36" s="11">
        <f>Dati!Z29</f>
        <v>1</v>
      </c>
      <c r="E36" s="11">
        <f t="shared" ref="E36:E42" si="15">C36*D36</f>
        <v>0.91</v>
      </c>
      <c r="F36" s="11"/>
      <c r="G36" s="3">
        <f>Dati!R35</f>
        <v>5.7500000000000002E-2</v>
      </c>
      <c r="H36" s="3">
        <f>Dati!R42</f>
        <v>0.20499999999999999</v>
      </c>
    </row>
    <row r="37" spans="2:8" x14ac:dyDescent="0.25">
      <c r="B37" t="s">
        <v>172</v>
      </c>
      <c r="C37" s="11">
        <f>Dati!Z19</f>
        <v>0.85</v>
      </c>
      <c r="D37" s="11">
        <f>Dati!Z28</f>
        <v>0.9</v>
      </c>
      <c r="E37" s="11">
        <f t="shared" si="15"/>
        <v>0.76500000000000001</v>
      </c>
      <c r="F37" s="11"/>
      <c r="G37" s="3">
        <f>Dati!R36</f>
        <v>3.7999999999999999E-2</v>
      </c>
      <c r="H37">
        <v>0</v>
      </c>
    </row>
    <row r="38" spans="2:8" x14ac:dyDescent="0.25">
      <c r="B38" t="s">
        <v>193</v>
      </c>
      <c r="C38" s="11">
        <f>Dati!Z13</f>
        <v>0.5</v>
      </c>
      <c r="D38" s="35">
        <v>1</v>
      </c>
      <c r="E38" s="11">
        <f t="shared" si="15"/>
        <v>0.5</v>
      </c>
      <c r="G38" s="3">
        <f>Dati!R30</f>
        <v>0.215</v>
      </c>
      <c r="H38">
        <v>0</v>
      </c>
    </row>
    <row r="39" spans="2:8" x14ac:dyDescent="0.25">
      <c r="B39" t="s">
        <v>192</v>
      </c>
      <c r="C39" s="11">
        <f>Dati!Z14</f>
        <v>0.9</v>
      </c>
      <c r="D39" s="35">
        <v>1</v>
      </c>
      <c r="E39" s="11">
        <f t="shared" si="15"/>
        <v>0.9</v>
      </c>
      <c r="G39" s="3">
        <f>Dati!R31</f>
        <v>5.5E-2</v>
      </c>
      <c r="H39">
        <v>0</v>
      </c>
    </row>
    <row r="40" spans="2:8" x14ac:dyDescent="0.25">
      <c r="B40" t="s">
        <v>191</v>
      </c>
      <c r="C40" s="11">
        <f>Dati!Z15</f>
        <v>0.7</v>
      </c>
      <c r="D40" s="35">
        <v>0.9</v>
      </c>
      <c r="E40" s="11">
        <f t="shared" si="15"/>
        <v>0.63</v>
      </c>
      <c r="G40" s="3">
        <f>Dati!R32</f>
        <v>0.33003300330033003</v>
      </c>
      <c r="H40">
        <v>0</v>
      </c>
    </row>
    <row r="41" spans="2:8" x14ac:dyDescent="0.25">
      <c r="B41" t="s">
        <v>544</v>
      </c>
      <c r="C41" s="11">
        <f>Dati!Z16</f>
        <v>0.27500000000000002</v>
      </c>
      <c r="D41" s="35">
        <v>0.9</v>
      </c>
      <c r="E41" s="11">
        <f t="shared" si="15"/>
        <v>0.24750000000000003</v>
      </c>
      <c r="G41" s="3">
        <f>Dati!R33</f>
        <v>0.38703870387038708</v>
      </c>
      <c r="H41">
        <v>0</v>
      </c>
    </row>
    <row r="42" spans="2:8" x14ac:dyDescent="0.25">
      <c r="B42" t="s">
        <v>178</v>
      </c>
      <c r="C42" s="11">
        <f>Dati!Z17</f>
        <v>0.62</v>
      </c>
      <c r="D42" s="35">
        <v>0.9</v>
      </c>
      <c r="E42" s="11">
        <f t="shared" si="15"/>
        <v>0.55800000000000005</v>
      </c>
      <c r="G42" s="3">
        <f>Dati!R34</f>
        <v>9.0009000900090008E-2</v>
      </c>
      <c r="H42">
        <v>0</v>
      </c>
    </row>
    <row r="44" spans="2:8" x14ac:dyDescent="0.25">
      <c r="B44" t="s">
        <v>574</v>
      </c>
      <c r="C44" s="4" t="s">
        <v>555</v>
      </c>
      <c r="D44" s="4" t="s">
        <v>575</v>
      </c>
      <c r="E44" s="4" t="s">
        <v>166</v>
      </c>
      <c r="F44" s="4" t="s">
        <v>167</v>
      </c>
    </row>
    <row r="45" spans="2:8" x14ac:dyDescent="0.25">
      <c r="B45" s="4" t="s">
        <v>554</v>
      </c>
      <c r="C45" t="s">
        <v>600</v>
      </c>
      <c r="D45" t="s">
        <v>18</v>
      </c>
      <c r="E45" t="s">
        <v>122</v>
      </c>
      <c r="F45" t="s">
        <v>171</v>
      </c>
    </row>
    <row r="46" spans="2:8" x14ac:dyDescent="0.25">
      <c r="B46" t="s">
        <v>175</v>
      </c>
      <c r="C46">
        <f>CALORE!D59</f>
        <v>1200</v>
      </c>
      <c r="D46">
        <v>23</v>
      </c>
      <c r="E46">
        <v>3500</v>
      </c>
      <c r="F46">
        <v>225</v>
      </c>
    </row>
    <row r="47" spans="2:8" x14ac:dyDescent="0.25">
      <c r="B47" t="s">
        <v>561</v>
      </c>
      <c r="C47">
        <f>CALORE!D58</f>
        <v>950</v>
      </c>
      <c r="D47">
        <f>54/2</f>
        <v>27</v>
      </c>
      <c r="E47">
        <f>5500/2</f>
        <v>2750</v>
      </c>
      <c r="F47">
        <v>200</v>
      </c>
    </row>
    <row r="48" spans="2:8" x14ac:dyDescent="0.25">
      <c r="B48" t="s">
        <v>176</v>
      </c>
      <c r="C48">
        <f>CALORE!D57</f>
        <v>650</v>
      </c>
      <c r="D48">
        <f>10</f>
        <v>10</v>
      </c>
      <c r="E48">
        <v>3000</v>
      </c>
      <c r="F48">
        <v>300</v>
      </c>
    </row>
    <row r="49" spans="2:6" x14ac:dyDescent="0.25">
      <c r="B49" t="s">
        <v>540</v>
      </c>
      <c r="C49">
        <f>CALORE!D56</f>
        <v>225</v>
      </c>
      <c r="D49">
        <f>15/2</f>
        <v>7.5</v>
      </c>
      <c r="E49">
        <v>1000</v>
      </c>
      <c r="F49">
        <v>30</v>
      </c>
    </row>
    <row r="50" spans="2:6" x14ac:dyDescent="0.25">
      <c r="B50" t="s">
        <v>566</v>
      </c>
      <c r="C50">
        <f>CALORE!D60</f>
        <v>1400</v>
      </c>
      <c r="D50">
        <v>3</v>
      </c>
      <c r="E50">
        <f>(15+8)/2*1000</f>
        <v>11500</v>
      </c>
      <c r="F50">
        <v>150</v>
      </c>
    </row>
    <row r="51" spans="2:6" x14ac:dyDescent="0.25">
      <c r="B51" t="s">
        <v>569</v>
      </c>
      <c r="C51">
        <f>CALORE!D61</f>
        <v>2000</v>
      </c>
      <c r="D51">
        <v>2</v>
      </c>
      <c r="E51">
        <f>24000</f>
        <v>24000</v>
      </c>
      <c r="F51">
        <v>150</v>
      </c>
    </row>
    <row r="52" spans="2:6" x14ac:dyDescent="0.25">
      <c r="B52" t="s">
        <v>571</v>
      </c>
      <c r="C52">
        <f>CALORE!D62</f>
        <v>1200</v>
      </c>
      <c r="D52">
        <v>27</v>
      </c>
      <c r="E52">
        <v>7000</v>
      </c>
      <c r="F52" s="15">
        <f>E52*(F47/E47)</f>
        <v>509.09090909090907</v>
      </c>
    </row>
    <row r="55" spans="2:6" x14ac:dyDescent="0.25">
      <c r="B55" t="s">
        <v>554</v>
      </c>
      <c r="C55" t="s">
        <v>555</v>
      </c>
      <c r="E55" t="s">
        <v>556</v>
      </c>
    </row>
    <row r="56" spans="2:6" x14ac:dyDescent="0.25">
      <c r="B56" t="s">
        <v>540</v>
      </c>
      <c r="C56" t="s">
        <v>557</v>
      </c>
      <c r="D56" s="42">
        <f>(150+300)/2</f>
        <v>225</v>
      </c>
      <c r="E56" t="s">
        <v>558</v>
      </c>
    </row>
    <row r="57" spans="2:6" x14ac:dyDescent="0.25">
      <c r="B57" t="s">
        <v>176</v>
      </c>
      <c r="C57" t="s">
        <v>559</v>
      </c>
      <c r="D57" s="42">
        <f>(800+500)/2</f>
        <v>650</v>
      </c>
      <c r="E57" t="s">
        <v>560</v>
      </c>
    </row>
    <row r="58" spans="2:6" x14ac:dyDescent="0.25">
      <c r="B58" t="s">
        <v>561</v>
      </c>
      <c r="C58" t="s">
        <v>562</v>
      </c>
      <c r="D58" s="42">
        <f>1900/2</f>
        <v>950</v>
      </c>
      <c r="E58" t="s">
        <v>563</v>
      </c>
    </row>
    <row r="59" spans="2:6" x14ac:dyDescent="0.25">
      <c r="B59" t="s">
        <v>175</v>
      </c>
      <c r="C59" t="s">
        <v>564</v>
      </c>
      <c r="D59" s="42">
        <f>2400/2</f>
        <v>1200</v>
      </c>
      <c r="E59" t="s">
        <v>565</v>
      </c>
    </row>
    <row r="60" spans="2:6" x14ac:dyDescent="0.25">
      <c r="B60" t="s">
        <v>566</v>
      </c>
      <c r="C60" t="s">
        <v>567</v>
      </c>
      <c r="D60" s="42">
        <f>1400</f>
        <v>1400</v>
      </c>
      <c r="E60" t="s">
        <v>568</v>
      </c>
    </row>
    <row r="61" spans="2:6" x14ac:dyDescent="0.25">
      <c r="B61" t="s">
        <v>569</v>
      </c>
      <c r="C61" t="s">
        <v>570</v>
      </c>
      <c r="D61" s="42">
        <v>2000</v>
      </c>
      <c r="E61" t="s">
        <v>573</v>
      </c>
    </row>
    <row r="62" spans="2:6" x14ac:dyDescent="0.25">
      <c r="B62" t="s">
        <v>571</v>
      </c>
      <c r="C62" t="s">
        <v>564</v>
      </c>
      <c r="D62" s="42">
        <v>1200</v>
      </c>
      <c r="E62" t="s">
        <v>572</v>
      </c>
    </row>
    <row r="65" spans="2:5" x14ac:dyDescent="0.25">
      <c r="B65" t="s">
        <v>554</v>
      </c>
      <c r="C65" t="s">
        <v>577</v>
      </c>
      <c r="D65" t="s">
        <v>578</v>
      </c>
      <c r="E65" t="s">
        <v>579</v>
      </c>
    </row>
    <row r="66" spans="2:5" x14ac:dyDescent="0.25">
      <c r="B66" t="s">
        <v>540</v>
      </c>
      <c r="C66" t="s">
        <v>580</v>
      </c>
      <c r="D66" t="s">
        <v>581</v>
      </c>
      <c r="E66" t="s">
        <v>582</v>
      </c>
    </row>
    <row r="67" spans="2:5" x14ac:dyDescent="0.25">
      <c r="B67" t="s">
        <v>176</v>
      </c>
      <c r="C67" t="s">
        <v>583</v>
      </c>
      <c r="D67" t="s">
        <v>584</v>
      </c>
      <c r="E67" t="s">
        <v>585</v>
      </c>
    </row>
    <row r="68" spans="2:5" x14ac:dyDescent="0.25">
      <c r="B68" t="s">
        <v>561</v>
      </c>
      <c r="C68" t="s">
        <v>586</v>
      </c>
      <c r="D68" t="s">
        <v>587</v>
      </c>
      <c r="E68" t="s">
        <v>588</v>
      </c>
    </row>
    <row r="69" spans="2:5" x14ac:dyDescent="0.25">
      <c r="B69" t="s">
        <v>175</v>
      </c>
      <c r="C69" t="s">
        <v>589</v>
      </c>
      <c r="D69" t="s">
        <v>590</v>
      </c>
      <c r="E69" t="s">
        <v>591</v>
      </c>
    </row>
    <row r="70" spans="2:5" x14ac:dyDescent="0.25">
      <c r="B70" t="s">
        <v>566</v>
      </c>
      <c r="C70" t="s">
        <v>592</v>
      </c>
      <c r="D70" t="s">
        <v>593</v>
      </c>
      <c r="E70" t="s">
        <v>594</v>
      </c>
    </row>
    <row r="71" spans="2:5" x14ac:dyDescent="0.25">
      <c r="B71" t="s">
        <v>569</v>
      </c>
      <c r="C71" t="s">
        <v>595</v>
      </c>
      <c r="D71" t="s">
        <v>596</v>
      </c>
      <c r="E71" t="s">
        <v>594</v>
      </c>
    </row>
    <row r="72" spans="2:5" x14ac:dyDescent="0.25">
      <c r="B72" t="s">
        <v>597</v>
      </c>
      <c r="C72" t="s">
        <v>598</v>
      </c>
      <c r="D72" t="s">
        <v>599</v>
      </c>
      <c r="E72" t="s">
        <v>87</v>
      </c>
    </row>
  </sheetData>
  <mergeCells count="5">
    <mergeCell ref="S2:T2"/>
    <mergeCell ref="U2:V2"/>
    <mergeCell ref="G33:H33"/>
    <mergeCell ref="B2:B3"/>
    <mergeCell ref="C33:D33"/>
  </mergeCells>
  <phoneticPr fontId="12" type="noConversion"/>
  <conditionalFormatting sqref="H4:H1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1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 L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15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7" r:id="rId3" name="Scroll Bar 7">
              <controlPr defaultSiz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790575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4" name="Scroll Bar 9">
              <controlPr defaultSize="0" autoPict="0">
                <anchor moveWithCells="1">
                  <from>
                    <xdr:col>3</xdr:col>
                    <xdr:colOff>19050</xdr:colOff>
                    <xdr:row>28</xdr:row>
                    <xdr:rowOff>19050</xdr:rowOff>
                  </from>
                  <to>
                    <xdr:col>5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5" name="Scroll Bar 15">
              <controlPr defaultSize="0" autoPict="0">
                <anchor moveWithCells="1">
                  <from>
                    <xdr:col>10</xdr:col>
                    <xdr:colOff>9525</xdr:colOff>
                    <xdr:row>16</xdr:row>
                    <xdr:rowOff>180975</xdr:rowOff>
                  </from>
                  <to>
                    <xdr:col>11</xdr:col>
                    <xdr:colOff>600075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6" name="Scroll Bar 16">
              <controlPr defaultSize="0" autoPict="0">
                <anchor moveWithCells="1">
                  <from>
                    <xdr:col>10</xdr:col>
                    <xdr:colOff>9525</xdr:colOff>
                    <xdr:row>17</xdr:row>
                    <xdr:rowOff>180975</xdr:rowOff>
                  </from>
                  <to>
                    <xdr:col>11</xdr:col>
                    <xdr:colOff>600075</xdr:colOff>
                    <xdr:row>18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A227-8CDC-4E14-B3B4-A7AE63F04C5C}">
  <dimension ref="B2:Z71"/>
  <sheetViews>
    <sheetView topLeftCell="A4" zoomScaleNormal="100" workbookViewId="0">
      <selection activeCell="D11" sqref="D11"/>
    </sheetView>
  </sheetViews>
  <sheetFormatPr defaultRowHeight="15" x14ac:dyDescent="0.25"/>
  <cols>
    <col min="2" max="2" width="20.7109375" bestFit="1" customWidth="1"/>
    <col min="25" max="25" width="9.5703125" bestFit="1" customWidth="1"/>
  </cols>
  <sheetData>
    <row r="2" spans="2:8" x14ac:dyDescent="0.25">
      <c r="B2" t="s">
        <v>667</v>
      </c>
      <c r="C2">
        <v>5</v>
      </c>
      <c r="H2" t="s">
        <v>668</v>
      </c>
    </row>
    <row r="5" spans="2:8" x14ac:dyDescent="0.25">
      <c r="B5" t="s">
        <v>669</v>
      </c>
      <c r="C5" s="12">
        <f>D5/100</f>
        <v>0.45</v>
      </c>
      <c r="D5">
        <v>45</v>
      </c>
    </row>
    <row r="7" spans="2:8" x14ac:dyDescent="0.25">
      <c r="B7" t="s">
        <v>671</v>
      </c>
      <c r="C7" t="s">
        <v>5</v>
      </c>
      <c r="D7">
        <f>C2*55*1000</f>
        <v>275000</v>
      </c>
    </row>
    <row r="8" spans="2:8" x14ac:dyDescent="0.25">
      <c r="C8" t="s">
        <v>670</v>
      </c>
      <c r="D8">
        <f>D7/1000</f>
        <v>275</v>
      </c>
    </row>
    <row r="10" spans="2:8" x14ac:dyDescent="0.25">
      <c r="B10" t="s">
        <v>653</v>
      </c>
      <c r="C10" t="s">
        <v>622</v>
      </c>
    </row>
    <row r="11" spans="2:8" x14ac:dyDescent="0.25">
      <c r="C11" t="s">
        <v>672</v>
      </c>
    </row>
    <row r="14" spans="2:8" x14ac:dyDescent="0.25">
      <c r="B14" s="4" t="s">
        <v>624</v>
      </c>
      <c r="F14" t="s">
        <v>623</v>
      </c>
      <c r="G14" t="s">
        <v>635</v>
      </c>
      <c r="H14" t="s">
        <v>654</v>
      </c>
    </row>
    <row r="15" spans="2:8" x14ac:dyDescent="0.25">
      <c r="B15" t="s">
        <v>625</v>
      </c>
      <c r="C15" t="s">
        <v>626</v>
      </c>
      <c r="D15">
        <v>600</v>
      </c>
      <c r="E15" t="s">
        <v>634</v>
      </c>
      <c r="F15">
        <f>D15/10</f>
        <v>60</v>
      </c>
      <c r="G15">
        <v>1200</v>
      </c>
      <c r="H15">
        <f>F15*G15/1000</f>
        <v>72</v>
      </c>
    </row>
    <row r="16" spans="2:8" x14ac:dyDescent="0.25">
      <c r="C16" t="s">
        <v>627</v>
      </c>
      <c r="D16">
        <v>700</v>
      </c>
      <c r="E16" t="s">
        <v>634</v>
      </c>
      <c r="F16">
        <f t="shared" ref="F16:F18" si="0">D16/10</f>
        <v>70</v>
      </c>
      <c r="G16">
        <f>G15*0.15+G15</f>
        <v>1380</v>
      </c>
      <c r="H16">
        <f>F16*G16/1000</f>
        <v>96.6</v>
      </c>
    </row>
    <row r="17" spans="2:20" x14ac:dyDescent="0.25">
      <c r="B17" t="s">
        <v>628</v>
      </c>
      <c r="C17" t="s">
        <v>629</v>
      </c>
      <c r="D17" s="7">
        <f>C67/C66</f>
        <v>227.27272727272725</v>
      </c>
      <c r="E17" t="s">
        <v>623</v>
      </c>
      <c r="F17" s="9">
        <f t="shared" si="0"/>
        <v>22.727272727272727</v>
      </c>
      <c r="G17">
        <v>1200</v>
      </c>
    </row>
    <row r="18" spans="2:20" x14ac:dyDescent="0.25">
      <c r="C18" t="s">
        <v>630</v>
      </c>
      <c r="D18" s="7">
        <f>D17*0.5</f>
        <v>113.63636363636363</v>
      </c>
      <c r="E18" t="s">
        <v>623</v>
      </c>
      <c r="F18" s="9">
        <f t="shared" si="0"/>
        <v>11.363636363636363</v>
      </c>
      <c r="G18">
        <v>1200</v>
      </c>
    </row>
    <row r="26" spans="2:20" s="13" customFormat="1" x14ac:dyDescent="0.25"/>
    <row r="29" spans="2:20" x14ac:dyDescent="0.25">
      <c r="B29" t="s">
        <v>649</v>
      </c>
      <c r="S29" t="s">
        <v>650</v>
      </c>
      <c r="T29" t="s">
        <v>655</v>
      </c>
    </row>
    <row r="30" spans="2:20" x14ac:dyDescent="0.25">
      <c r="B30" t="s">
        <v>651</v>
      </c>
    </row>
    <row r="32" spans="2:20" x14ac:dyDescent="0.25">
      <c r="D32" t="s">
        <v>217</v>
      </c>
      <c r="E32" t="s">
        <v>666</v>
      </c>
      <c r="F32" t="s">
        <v>652</v>
      </c>
      <c r="I32" t="s">
        <v>653</v>
      </c>
    </row>
    <row r="33" spans="2:26" x14ac:dyDescent="0.25">
      <c r="D33" s="14" t="s">
        <v>665</v>
      </c>
      <c r="E33" t="s">
        <v>5</v>
      </c>
      <c r="F33">
        <v>0</v>
      </c>
      <c r="I33" t="s">
        <v>622</v>
      </c>
      <c r="J33" t="s">
        <v>660</v>
      </c>
    </row>
    <row r="34" spans="2:26" x14ac:dyDescent="0.25">
      <c r="B34" t="s">
        <v>269</v>
      </c>
      <c r="C34" t="s">
        <v>648</v>
      </c>
      <c r="D34" s="7">
        <f>AUTO!L7</f>
        <v>2050.0000000000005</v>
      </c>
      <c r="E34" s="7">
        <f>AUTO!M7</f>
        <v>2050.0000000000005</v>
      </c>
      <c r="F34" s="7">
        <f>AUTO!N8</f>
        <v>2277.7777777777783</v>
      </c>
      <c r="I34" s="9">
        <f>F34/$H$15</f>
        <v>31.635802469135811</v>
      </c>
      <c r="J34" s="68">
        <f>I35/I34</f>
        <v>3.5401652242328865</v>
      </c>
    </row>
    <row r="35" spans="2:26" x14ac:dyDescent="0.25">
      <c r="C35" t="s">
        <v>647</v>
      </c>
      <c r="D35" s="7">
        <f>AUTO!L9</f>
        <v>150</v>
      </c>
      <c r="E35" s="7">
        <f>AUTO!M9</f>
        <v>4999.5</v>
      </c>
      <c r="F35" s="7">
        <f>AUTO!N11</f>
        <v>8063.7096774193551</v>
      </c>
      <c r="I35" s="9">
        <f>F35/$H$15</f>
        <v>111.99596774193549</v>
      </c>
      <c r="J35" s="68"/>
    </row>
    <row r="36" spans="2:26" x14ac:dyDescent="0.25">
      <c r="B36" t="s">
        <v>50</v>
      </c>
      <c r="C36" t="s">
        <v>648</v>
      </c>
      <c r="T36" t="s">
        <v>656</v>
      </c>
      <c r="V36">
        <v>204</v>
      </c>
      <c r="W36" t="s">
        <v>657</v>
      </c>
      <c r="Y36" t="s">
        <v>658</v>
      </c>
    </row>
    <row r="37" spans="2:26" x14ac:dyDescent="0.25">
      <c r="C37" t="s">
        <v>647</v>
      </c>
      <c r="V37">
        <v>60.88</v>
      </c>
      <c r="W37" t="s">
        <v>659</v>
      </c>
      <c r="Y37" s="3">
        <f>V36/Dati!Z17</f>
        <v>329.03225806451616</v>
      </c>
      <c r="Z37" t="s">
        <v>657</v>
      </c>
    </row>
    <row r="38" spans="2:26" x14ac:dyDescent="0.25">
      <c r="B38" t="s">
        <v>267</v>
      </c>
      <c r="C38" t="s">
        <v>648</v>
      </c>
    </row>
    <row r="39" spans="2:26" x14ac:dyDescent="0.25">
      <c r="C39" t="s">
        <v>647</v>
      </c>
      <c r="V39" s="7">
        <f>V36/H15</f>
        <v>2.8333333333333335</v>
      </c>
      <c r="W39" t="s">
        <v>659</v>
      </c>
    </row>
    <row r="40" spans="2:26" x14ac:dyDescent="0.25">
      <c r="B40" t="s">
        <v>271</v>
      </c>
      <c r="C40" t="s">
        <v>648</v>
      </c>
      <c r="V40" s="7">
        <f>Y37/H15</f>
        <v>4.56989247311828</v>
      </c>
    </row>
    <row r="41" spans="2:26" x14ac:dyDescent="0.25">
      <c r="C41" t="s">
        <v>647</v>
      </c>
    </row>
    <row r="42" spans="2:26" x14ac:dyDescent="0.25">
      <c r="B42" t="s">
        <v>661</v>
      </c>
      <c r="D42" s="7">
        <f>F42</f>
        <v>2469.1358024691358</v>
      </c>
      <c r="E42" s="7">
        <f>CALORE!F12</f>
        <v>2222.2222222222222</v>
      </c>
      <c r="F42" s="7">
        <f>CALORE!H12</f>
        <v>2469.1358024691358</v>
      </c>
      <c r="J42" s="68">
        <f>F43/F42</f>
        <v>7.2580645161290329</v>
      </c>
    </row>
    <row r="43" spans="2:26" x14ac:dyDescent="0.25">
      <c r="B43" t="s">
        <v>662</v>
      </c>
      <c r="D43" s="7">
        <f>F43/Dati!F6</f>
        <v>537.68817741989255</v>
      </c>
      <c r="E43" s="7">
        <f>CALORE!F15</f>
        <v>11111.111111111111</v>
      </c>
      <c r="F43" s="7">
        <f>CALORE!H15</f>
        <v>17921.146953405019</v>
      </c>
      <c r="J43" s="68"/>
    </row>
    <row r="48" spans="2:26" x14ac:dyDescent="0.25">
      <c r="H48" s="63" t="s">
        <v>636</v>
      </c>
      <c r="I48" s="63"/>
    </row>
    <row r="49" spans="9:19" x14ac:dyDescent="0.25">
      <c r="I49" t="s">
        <v>637</v>
      </c>
    </row>
    <row r="50" spans="9:19" x14ac:dyDescent="0.25">
      <c r="I50" s="7" t="e">
        <f>#REF!/(55+55*0.05)/1000</f>
        <v>#REF!</v>
      </c>
      <c r="J50" t="s">
        <v>638</v>
      </c>
      <c r="L50" s="9" t="e">
        <f>$I$50/AUTO!L11*1000</f>
        <v>#REF!</v>
      </c>
      <c r="M50" t="s">
        <v>639</v>
      </c>
      <c r="P50" t="s">
        <v>640</v>
      </c>
      <c r="R50" s="9" t="e">
        <f>#REF!/AUTO!L7</f>
        <v>#REF!</v>
      </c>
      <c r="S50" t="s">
        <v>641</v>
      </c>
    </row>
    <row r="51" spans="9:19" x14ac:dyDescent="0.25">
      <c r="I51" s="7" t="e">
        <f>#REF!/(55+55*0.05)/1000</f>
        <v>#REF!</v>
      </c>
      <c r="L51" s="9" t="e">
        <f>$I$50/CAMION!L10*1000</f>
        <v>#REF!</v>
      </c>
      <c r="M51" t="s">
        <v>642</v>
      </c>
      <c r="R51" s="9" t="e">
        <f>#REF!/CAMION!L7</f>
        <v>#REF!</v>
      </c>
      <c r="S51" t="s">
        <v>645</v>
      </c>
    </row>
    <row r="52" spans="9:19" x14ac:dyDescent="0.25">
      <c r="L52" s="9" t="e">
        <f>$I$50/'AUTOBUS Urbano'!L10*1000</f>
        <v>#REF!</v>
      </c>
      <c r="M52" t="s">
        <v>643</v>
      </c>
      <c r="R52" s="9" t="e">
        <f>#REF!/'AUTOBUS Urbano'!L7</f>
        <v>#REF!</v>
      </c>
      <c r="S52" t="s">
        <v>645</v>
      </c>
    </row>
    <row r="53" spans="9:19" x14ac:dyDescent="0.25">
      <c r="L53" s="9" t="e">
        <f>$I$50/'AUTOBUS ExtraUrbano'!L10*1000</f>
        <v>#REF!</v>
      </c>
      <c r="M53" t="s">
        <v>644</v>
      </c>
      <c r="R53" s="9" t="e">
        <f>#REF!/'AUTOBUS ExtraUrbano'!L7</f>
        <v>#REF!</v>
      </c>
      <c r="S53" t="s">
        <v>645</v>
      </c>
    </row>
    <row r="66" spans="2:5" x14ac:dyDescent="0.25">
      <c r="B66" t="s">
        <v>631</v>
      </c>
      <c r="C66">
        <v>2.2000000000000002</v>
      </c>
      <c r="D66" t="s">
        <v>622</v>
      </c>
    </row>
    <row r="67" spans="2:5" ht="15" customHeight="1" x14ac:dyDescent="0.25">
      <c r="B67" t="s">
        <v>17</v>
      </c>
      <c r="C67">
        <v>500</v>
      </c>
      <c r="D67" t="s">
        <v>632</v>
      </c>
    </row>
    <row r="68" spans="2:5" x14ac:dyDescent="0.25">
      <c r="E68" s="4"/>
    </row>
    <row r="69" spans="2:5" x14ac:dyDescent="0.25">
      <c r="B69" t="s">
        <v>633</v>
      </c>
      <c r="C69" s="12">
        <v>0.2</v>
      </c>
    </row>
    <row r="71" spans="2:5" x14ac:dyDescent="0.25">
      <c r="E71" s="9"/>
    </row>
  </sheetData>
  <mergeCells count="3">
    <mergeCell ref="H48:I48"/>
    <mergeCell ref="J34:J35"/>
    <mergeCell ref="J42:J4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8" r:id="rId3" name="Scroll Bar 2">
              <controlPr defaultSize="0" autoPict="0">
                <anchor moveWithCells="1">
                  <from>
                    <xdr:col>4</xdr:col>
                    <xdr:colOff>76200</xdr:colOff>
                    <xdr:row>55</xdr:row>
                    <xdr:rowOff>19050</xdr:rowOff>
                  </from>
                  <to>
                    <xdr:col>5</xdr:col>
                    <xdr:colOff>552450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4" name="Scroll Bar 3">
              <controlPr defaultSize="0" autoPict="0">
                <anchor moveWithCells="1">
                  <from>
                    <xdr:col>4</xdr:col>
                    <xdr:colOff>76200</xdr:colOff>
                    <xdr:row>56</xdr:row>
                    <xdr:rowOff>0</xdr:rowOff>
                  </from>
                  <to>
                    <xdr:col>5</xdr:col>
                    <xdr:colOff>552450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5" name="Scroll Bar 4">
              <controlPr defaultSize="0" autoPict="0">
                <anchor moveWithCells="1">
                  <from>
                    <xdr:col>9</xdr:col>
                    <xdr:colOff>304800</xdr:colOff>
                    <xdr:row>65</xdr:row>
                    <xdr:rowOff>0</xdr:rowOff>
                  </from>
                  <to>
                    <xdr:col>11</xdr:col>
                    <xdr:colOff>171450</xdr:colOff>
                    <xdr:row>65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6" name="Scroll Bar 5">
              <controlPr defaultSize="0" autoPict="0">
                <anchor moveWithCells="1">
                  <from>
                    <xdr:col>3</xdr:col>
                    <xdr:colOff>19050</xdr:colOff>
                    <xdr:row>1</xdr:row>
                    <xdr:rowOff>19050</xdr:rowOff>
                  </from>
                  <to>
                    <xdr:col>6</xdr:col>
                    <xdr:colOff>0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7" name="Scroll Bar 6">
              <controlPr defaultSize="0" autoPict="0">
                <anchor moveWithCells="1">
                  <from>
                    <xdr:col>3</xdr:col>
                    <xdr:colOff>19050</xdr:colOff>
                    <xdr:row>4</xdr:row>
                    <xdr:rowOff>19050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9389-C4B8-4C4A-A3A1-E7A0D260618A}">
  <dimension ref="A1:AH102"/>
  <sheetViews>
    <sheetView topLeftCell="A40" zoomScale="80" zoomScaleNormal="80" workbookViewId="0">
      <selection activeCell="E71" sqref="E71"/>
    </sheetView>
  </sheetViews>
  <sheetFormatPr defaultRowHeight="15" x14ac:dyDescent="0.25"/>
  <cols>
    <col min="1" max="1" width="28" bestFit="1" customWidth="1"/>
    <col min="7" max="7" width="11.140625" bestFit="1" customWidth="1"/>
    <col min="12" max="12" width="9.140625" style="37"/>
    <col min="14" max="14" width="23.42578125" bestFit="1" customWidth="1"/>
    <col min="23" max="23" width="9.140625" style="37"/>
    <col min="25" max="25" width="32.28515625" bestFit="1" customWidth="1"/>
    <col min="26" max="26" width="37" customWidth="1"/>
    <col min="27" max="27" width="14.42578125" customWidth="1"/>
    <col min="28" max="28" width="16.5703125" customWidth="1"/>
    <col min="29" max="29" width="14.5703125" customWidth="1"/>
  </cols>
  <sheetData>
    <row r="1" spans="1:27" ht="21" x14ac:dyDescent="0.35">
      <c r="A1" s="5" t="s">
        <v>47</v>
      </c>
      <c r="B1" s="63" t="s">
        <v>7</v>
      </c>
      <c r="C1" s="63"/>
      <c r="D1" s="63" t="s">
        <v>8</v>
      </c>
      <c r="E1" s="63"/>
      <c r="F1" s="63" t="s">
        <v>26</v>
      </c>
      <c r="G1" s="63"/>
      <c r="H1" s="1" t="s">
        <v>27</v>
      </c>
      <c r="N1" s="6" t="s">
        <v>2</v>
      </c>
      <c r="Y1" s="6" t="s">
        <v>233</v>
      </c>
    </row>
    <row r="2" spans="1:27" x14ac:dyDescent="0.25">
      <c r="F2" t="s">
        <v>6</v>
      </c>
      <c r="G2" t="s">
        <v>144</v>
      </c>
      <c r="H2" t="s">
        <v>29</v>
      </c>
      <c r="N2" t="s">
        <v>30</v>
      </c>
      <c r="O2" t="s">
        <v>43</v>
      </c>
      <c r="P2">
        <f>P3*101325/1000</f>
        <v>31005.45</v>
      </c>
      <c r="Y2" t="s">
        <v>127</v>
      </c>
      <c r="Z2" t="s">
        <v>128</v>
      </c>
      <c r="AA2" t="s">
        <v>129</v>
      </c>
    </row>
    <row r="3" spans="1:27" x14ac:dyDescent="0.25">
      <c r="A3" t="s">
        <v>10</v>
      </c>
      <c r="B3">
        <v>1.7</v>
      </c>
      <c r="C3">
        <v>2</v>
      </c>
      <c r="D3" s="3">
        <f>C3/H3</f>
        <v>2.6666666666666665</v>
      </c>
      <c r="F3">
        <v>11.67</v>
      </c>
      <c r="G3" s="50">
        <f>F3*H3</f>
        <v>8.7524999999999995</v>
      </c>
      <c r="H3">
        <v>0.75</v>
      </c>
      <c r="O3" t="s">
        <v>35</v>
      </c>
      <c r="P3" s="42">
        <v>306</v>
      </c>
      <c r="Y3" t="s">
        <v>10</v>
      </c>
      <c r="Z3" t="s">
        <v>130</v>
      </c>
      <c r="AA3" t="s">
        <v>132</v>
      </c>
    </row>
    <row r="4" spans="1:27" x14ac:dyDescent="0.25">
      <c r="A4" t="s">
        <v>11</v>
      </c>
      <c r="B4">
        <v>1.65</v>
      </c>
      <c r="C4">
        <v>1.95</v>
      </c>
      <c r="D4" s="3">
        <f>C4/H4</f>
        <v>2.3353293413173652</v>
      </c>
      <c r="F4">
        <v>11.86</v>
      </c>
      <c r="G4" s="50">
        <f t="shared" ref="G4:G6" si="0">F4*H4</f>
        <v>9.9030999999999985</v>
      </c>
      <c r="H4">
        <v>0.83499999999999996</v>
      </c>
      <c r="N4" t="s">
        <v>31</v>
      </c>
      <c r="O4" t="s">
        <v>32</v>
      </c>
      <c r="P4">
        <f>1.008*2</f>
        <v>2.016</v>
      </c>
      <c r="Y4" t="s">
        <v>73</v>
      </c>
      <c r="Z4" t="s">
        <v>130</v>
      </c>
      <c r="AA4" t="s">
        <v>133</v>
      </c>
    </row>
    <row r="5" spans="1:27" x14ac:dyDescent="0.25">
      <c r="A5" t="s">
        <v>24</v>
      </c>
      <c r="B5">
        <v>1</v>
      </c>
      <c r="C5">
        <v>2</v>
      </c>
      <c r="D5">
        <v>1</v>
      </c>
      <c r="E5">
        <v>2</v>
      </c>
      <c r="F5" s="42">
        <v>33.33</v>
      </c>
      <c r="G5" s="7">
        <f t="shared" si="0"/>
        <v>0.85479891381475925</v>
      </c>
      <c r="H5" s="3">
        <f>P10/1000</f>
        <v>2.5646532067649545E-2</v>
      </c>
      <c r="O5" t="s">
        <v>41</v>
      </c>
      <c r="P5">
        <f>P4/1000</f>
        <v>2.016E-3</v>
      </c>
      <c r="Y5" t="s">
        <v>134</v>
      </c>
      <c r="Z5" t="s">
        <v>135</v>
      </c>
      <c r="AA5" t="s">
        <v>136</v>
      </c>
    </row>
    <row r="6" spans="1:27" x14ac:dyDescent="0.25">
      <c r="A6" t="s">
        <v>25</v>
      </c>
      <c r="B6">
        <v>12</v>
      </c>
      <c r="C6">
        <v>18</v>
      </c>
      <c r="D6">
        <v>12</v>
      </c>
      <c r="E6">
        <v>18</v>
      </c>
      <c r="F6">
        <v>33.33</v>
      </c>
      <c r="G6" s="7">
        <f t="shared" si="0"/>
        <v>2.3664299999999998</v>
      </c>
      <c r="H6" s="3">
        <f>P11/1000</f>
        <v>7.0999999999999994E-2</v>
      </c>
      <c r="N6" t="s">
        <v>33</v>
      </c>
      <c r="O6" t="s">
        <v>34</v>
      </c>
      <c r="P6">
        <f>P7+273.15</f>
        <v>293.14999999999998</v>
      </c>
      <c r="Y6" t="s">
        <v>137</v>
      </c>
      <c r="Z6" t="s">
        <v>138</v>
      </c>
      <c r="AA6" t="s">
        <v>139</v>
      </c>
    </row>
    <row r="7" spans="1:27" x14ac:dyDescent="0.25">
      <c r="A7" t="s">
        <v>172</v>
      </c>
      <c r="D7">
        <v>2</v>
      </c>
      <c r="E7">
        <v>5</v>
      </c>
      <c r="F7">
        <v>4.9000000000000004</v>
      </c>
      <c r="G7" s="7"/>
      <c r="H7" s="3"/>
      <c r="O7" t="s">
        <v>38</v>
      </c>
      <c r="P7">
        <v>20</v>
      </c>
      <c r="Y7" t="s">
        <v>140</v>
      </c>
      <c r="Z7" t="s">
        <v>141</v>
      </c>
      <c r="AA7" t="s">
        <v>142</v>
      </c>
    </row>
    <row r="8" spans="1:27" x14ac:dyDescent="0.25">
      <c r="A8" t="s">
        <v>185</v>
      </c>
      <c r="B8">
        <v>0.95</v>
      </c>
      <c r="C8" t="s">
        <v>186</v>
      </c>
      <c r="D8" s="7">
        <f>B8/H8</f>
        <v>1.3268156424581006</v>
      </c>
      <c r="F8" s="7">
        <f>G8/H8</f>
        <v>13.393854748603353</v>
      </c>
      <c r="G8" s="42">
        <v>9.59</v>
      </c>
      <c r="H8" s="3">
        <v>0.71599999999999997</v>
      </c>
      <c r="N8" t="s">
        <v>39</v>
      </c>
      <c r="O8" t="s">
        <v>40</v>
      </c>
      <c r="P8">
        <v>8.3140000000000001</v>
      </c>
    </row>
    <row r="9" spans="1:27" x14ac:dyDescent="0.25">
      <c r="G9" s="7" t="s">
        <v>187</v>
      </c>
      <c r="N9" t="s">
        <v>36</v>
      </c>
      <c r="O9" t="s">
        <v>37</v>
      </c>
      <c r="P9" s="3">
        <f>P8*P6/(P5*P2)/1000</f>
        <v>3.8991626523314504E-2</v>
      </c>
      <c r="Y9" s="70" t="s">
        <v>264</v>
      </c>
      <c r="Z9" s="70"/>
      <c r="AA9" s="28" t="s">
        <v>63</v>
      </c>
    </row>
    <row r="10" spans="1:27" x14ac:dyDescent="0.25">
      <c r="N10" s="2" t="s">
        <v>27</v>
      </c>
      <c r="O10" t="s">
        <v>28</v>
      </c>
      <c r="P10" s="3">
        <f>1/P9</f>
        <v>25.646532067649545</v>
      </c>
      <c r="Y10" s="4" t="s">
        <v>143</v>
      </c>
      <c r="Z10" s="4" t="s">
        <v>228</v>
      </c>
      <c r="AA10" s="4"/>
    </row>
    <row r="11" spans="1:27" ht="15" customHeight="1" x14ac:dyDescent="0.25">
      <c r="A11" s="4" t="s">
        <v>151</v>
      </c>
      <c r="I11" s="51" t="s">
        <v>443</v>
      </c>
      <c r="J11" s="51"/>
      <c r="N11" s="55" t="s">
        <v>44</v>
      </c>
      <c r="O11" s="14" t="s">
        <v>28</v>
      </c>
      <c r="P11" s="14">
        <v>71</v>
      </c>
      <c r="Y11" t="s">
        <v>10</v>
      </c>
      <c r="Z11" s="46">
        <v>0.85</v>
      </c>
      <c r="AA11" t="s">
        <v>130</v>
      </c>
    </row>
    <row r="12" spans="1:27" x14ac:dyDescent="0.25">
      <c r="A12" t="s">
        <v>10</v>
      </c>
      <c r="B12">
        <f>C12/1000</f>
        <v>1.9</v>
      </c>
      <c r="C12">
        <v>1900</v>
      </c>
      <c r="E12" t="s">
        <v>7</v>
      </c>
      <c r="F12" s="17" t="s">
        <v>156</v>
      </c>
      <c r="G12" s="50">
        <f>B12/G3</f>
        <v>0.21708083404741502</v>
      </c>
      <c r="H12" t="s">
        <v>9</v>
      </c>
      <c r="I12" s="51">
        <v>1.9</v>
      </c>
      <c r="J12" s="51" t="s">
        <v>7</v>
      </c>
      <c r="Y12" t="s">
        <v>73</v>
      </c>
      <c r="Z12" s="46">
        <v>0.87</v>
      </c>
      <c r="AA12" t="s">
        <v>130</v>
      </c>
    </row>
    <row r="13" spans="1:27" x14ac:dyDescent="0.25">
      <c r="A13" t="s">
        <v>73</v>
      </c>
      <c r="B13">
        <f>C13/1000</f>
        <v>1.8</v>
      </c>
      <c r="C13">
        <v>1800</v>
      </c>
      <c r="E13" t="s">
        <v>7</v>
      </c>
      <c r="F13" s="17" t="s">
        <v>156</v>
      </c>
      <c r="G13" s="50">
        <f>B13/G4</f>
        <v>0.18176126667407178</v>
      </c>
      <c r="H13" t="s">
        <v>9</v>
      </c>
      <c r="I13" s="51">
        <v>1.8</v>
      </c>
      <c r="J13" s="51" t="s">
        <v>7</v>
      </c>
      <c r="Y13" t="s">
        <v>223</v>
      </c>
      <c r="Z13" s="46">
        <v>0.5</v>
      </c>
      <c r="AA13" t="s">
        <v>274</v>
      </c>
    </row>
    <row r="14" spans="1:27" ht="15" customHeight="1" x14ac:dyDescent="0.25">
      <c r="A14" t="s">
        <v>230</v>
      </c>
      <c r="B14">
        <f>C14/100</f>
        <v>0.31</v>
      </c>
      <c r="C14">
        <v>31</v>
      </c>
      <c r="E14" t="s">
        <v>9</v>
      </c>
      <c r="F14" s="17" t="s">
        <v>156</v>
      </c>
      <c r="G14" s="50">
        <f>B14</f>
        <v>0.31</v>
      </c>
      <c r="H14" t="s">
        <v>9</v>
      </c>
      <c r="I14" s="51">
        <v>0.31</v>
      </c>
      <c r="J14" s="51" t="s">
        <v>9</v>
      </c>
      <c r="N14" s="33" t="s">
        <v>197</v>
      </c>
      <c r="Y14" t="s">
        <v>224</v>
      </c>
      <c r="Z14" s="46">
        <v>0.9</v>
      </c>
      <c r="AA14" t="s">
        <v>273</v>
      </c>
    </row>
    <row r="15" spans="1:27" x14ac:dyDescent="0.25">
      <c r="A15" t="s">
        <v>231</v>
      </c>
      <c r="B15">
        <f>C15/100</f>
        <v>0.24</v>
      </c>
      <c r="C15">
        <v>24</v>
      </c>
      <c r="E15" t="s">
        <v>9</v>
      </c>
      <c r="F15" s="17" t="s">
        <v>156</v>
      </c>
      <c r="G15" s="50">
        <f>B15</f>
        <v>0.24</v>
      </c>
      <c r="H15" t="s">
        <v>9</v>
      </c>
      <c r="I15" s="51">
        <v>0.24</v>
      </c>
      <c r="J15" s="51" t="s">
        <v>9</v>
      </c>
      <c r="N15" t="s">
        <v>30</v>
      </c>
      <c r="O15" t="s">
        <v>43</v>
      </c>
      <c r="P15">
        <f>P16*101325/1000</f>
        <v>101.325</v>
      </c>
      <c r="Y15" t="s">
        <v>225</v>
      </c>
      <c r="Z15" s="46">
        <v>0.7</v>
      </c>
      <c r="AA15" t="s">
        <v>135</v>
      </c>
    </row>
    <row r="16" spans="1:27" x14ac:dyDescent="0.25">
      <c r="A16" t="s">
        <v>232</v>
      </c>
      <c r="B16">
        <f>C16/100</f>
        <v>2</v>
      </c>
      <c r="C16">
        <v>200</v>
      </c>
      <c r="E16" t="s">
        <v>8</v>
      </c>
      <c r="F16" s="17" t="s">
        <v>156</v>
      </c>
      <c r="G16" s="50">
        <f>B16/$F$5</f>
        <v>6.0006000600060012E-2</v>
      </c>
      <c r="H16" t="s">
        <v>9</v>
      </c>
      <c r="I16" s="51">
        <v>2</v>
      </c>
      <c r="J16" s="51" t="s">
        <v>8</v>
      </c>
      <c r="O16" t="s">
        <v>35</v>
      </c>
      <c r="P16" s="42">
        <v>1</v>
      </c>
      <c r="Y16" t="s">
        <v>226</v>
      </c>
      <c r="Z16" s="46">
        <v>0.27500000000000002</v>
      </c>
      <c r="AA16" t="s">
        <v>138</v>
      </c>
    </row>
    <row r="17" spans="1:34" x14ac:dyDescent="0.25">
      <c r="A17" t="s">
        <v>291</v>
      </c>
      <c r="B17">
        <f>C17/100</f>
        <v>20</v>
      </c>
      <c r="C17">
        <v>2000</v>
      </c>
      <c r="E17" t="s">
        <v>8</v>
      </c>
      <c r="F17" s="17" t="s">
        <v>156</v>
      </c>
      <c r="G17" s="50">
        <f>B17/$F$5</f>
        <v>0.60006000600060005</v>
      </c>
      <c r="H17" t="s">
        <v>9</v>
      </c>
      <c r="I17" s="51">
        <v>20</v>
      </c>
      <c r="J17" s="51" t="s">
        <v>8</v>
      </c>
      <c r="N17" t="s">
        <v>31</v>
      </c>
      <c r="O17" t="s">
        <v>32</v>
      </c>
      <c r="P17">
        <f>1.008*4+ 12.011</f>
        <v>16.042999999999999</v>
      </c>
      <c r="Y17" t="s">
        <v>227</v>
      </c>
      <c r="Z17" s="46">
        <v>0.62</v>
      </c>
      <c r="AA17" t="s">
        <v>138</v>
      </c>
    </row>
    <row r="18" spans="1:34" x14ac:dyDescent="0.25">
      <c r="A18" t="s">
        <v>292</v>
      </c>
      <c r="B18">
        <f>C18/100</f>
        <v>15</v>
      </c>
      <c r="C18">
        <v>1500</v>
      </c>
      <c r="E18" t="s">
        <v>8</v>
      </c>
      <c r="F18" s="17" t="s">
        <v>156</v>
      </c>
      <c r="G18" s="50">
        <f>B18/$F$5</f>
        <v>0.45004500450045004</v>
      </c>
      <c r="H18" t="s">
        <v>9</v>
      </c>
      <c r="I18" s="51">
        <v>15</v>
      </c>
      <c r="J18" s="51" t="s">
        <v>8</v>
      </c>
      <c r="O18" t="s">
        <v>41</v>
      </c>
      <c r="P18">
        <f>P17/1000</f>
        <v>1.6042999999999998E-2</v>
      </c>
      <c r="Y18" t="s">
        <v>185</v>
      </c>
      <c r="Z18" s="46">
        <v>0.91</v>
      </c>
    </row>
    <row r="19" spans="1:34" x14ac:dyDescent="0.25">
      <c r="A19" t="s">
        <v>172</v>
      </c>
      <c r="B19">
        <f>C19/20</f>
        <v>4.5</v>
      </c>
      <c r="C19">
        <v>90</v>
      </c>
      <c r="D19">
        <v>90</v>
      </c>
      <c r="E19" t="s">
        <v>189</v>
      </c>
      <c r="F19" s="17" t="s">
        <v>156</v>
      </c>
      <c r="G19" s="50">
        <f>B19/F7/15</f>
        <v>6.1224489795918359E-2</v>
      </c>
      <c r="H19" t="s">
        <v>9</v>
      </c>
      <c r="I19" s="51">
        <v>4.5</v>
      </c>
      <c r="J19" s="51" t="s">
        <v>189</v>
      </c>
      <c r="N19" t="s">
        <v>33</v>
      </c>
      <c r="O19" t="s">
        <v>34</v>
      </c>
      <c r="P19">
        <f>P20+273.15</f>
        <v>273.14999999999998</v>
      </c>
      <c r="Y19" t="s">
        <v>172</v>
      </c>
      <c r="Z19" s="46">
        <v>0.85</v>
      </c>
    </row>
    <row r="20" spans="1:34" x14ac:dyDescent="0.25">
      <c r="A20" t="s">
        <v>185</v>
      </c>
      <c r="B20">
        <f>C20/100</f>
        <v>0.95</v>
      </c>
      <c r="C20">
        <v>95</v>
      </c>
      <c r="D20">
        <v>25</v>
      </c>
      <c r="E20" t="s">
        <v>188</v>
      </c>
      <c r="F20" s="17" t="s">
        <v>156</v>
      </c>
      <c r="G20" s="50">
        <f>B20/G8</f>
        <v>9.9061522419186643E-2</v>
      </c>
      <c r="H20" t="s">
        <v>9</v>
      </c>
      <c r="I20" s="51">
        <v>0.95</v>
      </c>
      <c r="J20" s="51" t="s">
        <v>188</v>
      </c>
      <c r="O20" t="s">
        <v>38</v>
      </c>
      <c r="P20">
        <v>0</v>
      </c>
    </row>
    <row r="21" spans="1:34" x14ac:dyDescent="0.25">
      <c r="N21" t="s">
        <v>39</v>
      </c>
      <c r="O21" t="s">
        <v>40</v>
      </c>
      <c r="P21">
        <v>8.3140000000000001</v>
      </c>
      <c r="Y21" s="64" t="s">
        <v>266</v>
      </c>
      <c r="Z21" s="64"/>
      <c r="AA21" s="28"/>
    </row>
    <row r="22" spans="1:34" x14ac:dyDescent="0.25">
      <c r="N22" s="14" t="s">
        <v>36</v>
      </c>
      <c r="O22" s="14" t="s">
        <v>37</v>
      </c>
      <c r="P22" s="32">
        <f>P21*P19/(P18*P15)/1000</f>
        <v>1.3970406051132105</v>
      </c>
      <c r="Q22" s="14"/>
      <c r="R22" s="14"/>
      <c r="Y22" s="4" t="s">
        <v>252</v>
      </c>
      <c r="Z22" s="31" t="s">
        <v>269</v>
      </c>
      <c r="AA22" s="31" t="s">
        <v>270</v>
      </c>
      <c r="AB22" s="4" t="s">
        <v>267</v>
      </c>
      <c r="AC22" s="4" t="s">
        <v>271</v>
      </c>
      <c r="AD22" s="11" t="s">
        <v>63</v>
      </c>
      <c r="AE22" s="11"/>
    </row>
    <row r="23" spans="1:34" ht="18.75" x14ac:dyDescent="0.3">
      <c r="A23" s="5" t="s">
        <v>48</v>
      </c>
      <c r="B23" s="63" t="s">
        <v>17</v>
      </c>
      <c r="C23" s="63"/>
      <c r="D23" t="s">
        <v>19</v>
      </c>
      <c r="F23" s="61" t="s">
        <v>22</v>
      </c>
      <c r="G23" s="61"/>
      <c r="H23" s="61"/>
      <c r="N23" s="2" t="s">
        <v>27</v>
      </c>
      <c r="O23" t="s">
        <v>28</v>
      </c>
      <c r="P23" s="3">
        <f>1/P22</f>
        <v>0.71579880809474683</v>
      </c>
      <c r="Y23" t="s">
        <v>10</v>
      </c>
      <c r="Z23" s="47">
        <v>0.25</v>
      </c>
      <c r="AA23" s="27" t="s">
        <v>51</v>
      </c>
      <c r="AB23" s="27" t="s">
        <v>51</v>
      </c>
      <c r="AC23" s="27" t="s">
        <v>51</v>
      </c>
      <c r="AD23" s="11"/>
    </row>
    <row r="24" spans="1:34" x14ac:dyDescent="0.25">
      <c r="A24" t="s">
        <v>12</v>
      </c>
      <c r="B24" s="63" t="s">
        <v>18</v>
      </c>
      <c r="C24" s="63"/>
      <c r="D24" s="63" t="s">
        <v>21</v>
      </c>
      <c r="E24" s="63"/>
      <c r="F24" s="63" t="s">
        <v>9</v>
      </c>
      <c r="G24" s="63"/>
      <c r="H24" s="63"/>
      <c r="R24">
        <v>3.7999999999999999E-2</v>
      </c>
      <c r="Y24" t="s">
        <v>73</v>
      </c>
      <c r="Z24" s="47">
        <v>0.32</v>
      </c>
      <c r="AA24" s="48">
        <v>0.4</v>
      </c>
      <c r="AB24" s="48">
        <v>0.3</v>
      </c>
      <c r="AC24" s="48">
        <f>(35+38)/2/100</f>
        <v>0.36499999999999999</v>
      </c>
      <c r="AE24" s="11"/>
    </row>
    <row r="25" spans="1:34" x14ac:dyDescent="0.25">
      <c r="A25" t="s">
        <v>13</v>
      </c>
      <c r="B25">
        <v>3.5</v>
      </c>
      <c r="C25">
        <v>7.4</v>
      </c>
      <c r="D25">
        <f>7*60</f>
        <v>420</v>
      </c>
      <c r="E25">
        <f>10*60</f>
        <v>600</v>
      </c>
      <c r="F25">
        <v>0.2</v>
      </c>
      <c r="G25">
        <v>0.28000000000000003</v>
      </c>
      <c r="Y25" t="s">
        <v>268</v>
      </c>
      <c r="Z25" s="47">
        <v>0.9</v>
      </c>
      <c r="AA25" s="48">
        <v>0.85</v>
      </c>
      <c r="AB25" s="48">
        <v>0.8</v>
      </c>
      <c r="AC25" s="48">
        <v>0.82</v>
      </c>
    </row>
    <row r="26" spans="1:34" ht="15" customHeight="1" x14ac:dyDescent="0.25">
      <c r="A26" t="s">
        <v>23</v>
      </c>
      <c r="B26">
        <v>3.5</v>
      </c>
      <c r="C26">
        <v>7.4</v>
      </c>
      <c r="D26">
        <f>7*60</f>
        <v>420</v>
      </c>
      <c r="E26">
        <f>10*60</f>
        <v>600</v>
      </c>
      <c r="F26">
        <v>0.12</v>
      </c>
      <c r="G26">
        <v>0.16</v>
      </c>
      <c r="N26" s="33" t="s">
        <v>297</v>
      </c>
      <c r="Y26" t="s">
        <v>148</v>
      </c>
      <c r="Z26" s="47">
        <v>0.45</v>
      </c>
      <c r="AA26" s="48">
        <f>(38+48)/2/100</f>
        <v>0.43</v>
      </c>
      <c r="AB26" s="48">
        <f>(45+55)/2/100</f>
        <v>0.5</v>
      </c>
      <c r="AC26" s="48">
        <f>(40+50)/2/100</f>
        <v>0.45</v>
      </c>
      <c r="AD26" t="s">
        <v>272</v>
      </c>
    </row>
    <row r="27" spans="1:34" x14ac:dyDescent="0.25">
      <c r="A27" t="s">
        <v>14</v>
      </c>
      <c r="B27">
        <v>11</v>
      </c>
      <c r="C27">
        <v>22</v>
      </c>
      <c r="D27">
        <f>2*60</f>
        <v>120</v>
      </c>
      <c r="E27">
        <f>5*60</f>
        <v>300</v>
      </c>
      <c r="F27">
        <v>0.4</v>
      </c>
      <c r="G27">
        <v>0.55000000000000004</v>
      </c>
      <c r="N27" s="4" t="s">
        <v>299</v>
      </c>
      <c r="Y27" t="s">
        <v>549</v>
      </c>
      <c r="Z27" s="47">
        <v>0.9</v>
      </c>
      <c r="AA27" s="48"/>
      <c r="AB27" s="48"/>
      <c r="AC27" s="48"/>
    </row>
    <row r="28" spans="1:34" x14ac:dyDescent="0.25">
      <c r="A28" t="s">
        <v>15</v>
      </c>
      <c r="B28">
        <v>50</v>
      </c>
      <c r="C28">
        <v>150</v>
      </c>
      <c r="D28">
        <v>20</v>
      </c>
      <c r="E28">
        <v>50</v>
      </c>
      <c r="F28">
        <v>0.45</v>
      </c>
      <c r="G28">
        <v>0.65</v>
      </c>
      <c r="N28" t="s">
        <v>10</v>
      </c>
      <c r="O28" s="11">
        <v>0.25</v>
      </c>
      <c r="P28" t="s">
        <v>204</v>
      </c>
      <c r="Q28" s="17" t="s">
        <v>156</v>
      </c>
      <c r="R28" s="49">
        <f>R39*O28</f>
        <v>6.5981148243359045E-2</v>
      </c>
      <c r="S28" t="s">
        <v>209</v>
      </c>
      <c r="Y28" t="s">
        <v>550</v>
      </c>
      <c r="Z28" s="47">
        <v>0.9</v>
      </c>
      <c r="AA28" s="48"/>
      <c r="AB28" s="48"/>
      <c r="AC28" s="48"/>
    </row>
    <row r="29" spans="1:34" x14ac:dyDescent="0.25">
      <c r="A29" t="s">
        <v>16</v>
      </c>
      <c r="B29">
        <v>150</v>
      </c>
      <c r="C29">
        <v>400</v>
      </c>
      <c r="D29">
        <v>10</v>
      </c>
      <c r="E29">
        <v>20</v>
      </c>
      <c r="F29">
        <v>0.6</v>
      </c>
      <c r="G29">
        <v>0.8</v>
      </c>
      <c r="N29" t="s">
        <v>73</v>
      </c>
      <c r="O29" s="11">
        <v>0.15</v>
      </c>
      <c r="P29" t="s">
        <v>204</v>
      </c>
      <c r="Q29" s="17" t="s">
        <v>156</v>
      </c>
      <c r="R29" s="49">
        <f>O29*R40</f>
        <v>3.9987478668295794E-2</v>
      </c>
      <c r="S29" t="s">
        <v>209</v>
      </c>
      <c r="Y29" t="s">
        <v>551</v>
      </c>
      <c r="Z29" s="47">
        <v>1</v>
      </c>
      <c r="AA29" s="48"/>
      <c r="AB29" s="48"/>
      <c r="AC29" s="48"/>
    </row>
    <row r="30" spans="1:34" x14ac:dyDescent="0.25">
      <c r="N30" t="s">
        <v>202</v>
      </c>
      <c r="O30">
        <v>0.215</v>
      </c>
      <c r="P30" t="s">
        <v>204</v>
      </c>
      <c r="Q30" s="17" t="s">
        <v>156</v>
      </c>
      <c r="R30" s="49">
        <f>O30</f>
        <v>0.215</v>
      </c>
      <c r="S30" t="s">
        <v>209</v>
      </c>
      <c r="Z30" s="11"/>
    </row>
    <row r="31" spans="1:34" s="14" customFormat="1" ht="15" customHeight="1" x14ac:dyDescent="0.25">
      <c r="A31"/>
      <c r="B31"/>
      <c r="C31"/>
      <c r="D31"/>
      <c r="E31"/>
      <c r="F31"/>
      <c r="G31"/>
      <c r="H31"/>
      <c r="I31"/>
      <c r="J31"/>
      <c r="K31"/>
      <c r="L31" s="38"/>
      <c r="N31" t="s">
        <v>203</v>
      </c>
      <c r="O31">
        <v>5.5E-2</v>
      </c>
      <c r="P31" t="s">
        <v>204</v>
      </c>
      <c r="Q31" s="17" t="s">
        <v>156</v>
      </c>
      <c r="R31" s="49">
        <f>O31</f>
        <v>5.5E-2</v>
      </c>
      <c r="S31" t="s">
        <v>209</v>
      </c>
      <c r="U31"/>
      <c r="W31" s="38"/>
      <c r="Y31" s="64" t="s">
        <v>290</v>
      </c>
      <c r="Z31" s="64"/>
      <c r="AA31"/>
      <c r="AB31"/>
      <c r="AC31"/>
      <c r="AD31"/>
      <c r="AE31"/>
      <c r="AF31"/>
      <c r="AG31"/>
      <c r="AH31"/>
    </row>
    <row r="32" spans="1:34" x14ac:dyDescent="0.25">
      <c r="A32" s="4" t="s">
        <v>165</v>
      </c>
      <c r="N32" t="s">
        <v>205</v>
      </c>
      <c r="O32">
        <v>11</v>
      </c>
      <c r="P32" t="s">
        <v>333</v>
      </c>
      <c r="Q32" s="17" t="s">
        <v>156</v>
      </c>
      <c r="R32" s="49">
        <f>O32/F6</f>
        <v>0.33003300330033003</v>
      </c>
      <c r="S32" t="s">
        <v>209</v>
      </c>
      <c r="Y32" s="34" t="s">
        <v>143</v>
      </c>
      <c r="Z32" s="63" t="s">
        <v>10</v>
      </c>
      <c r="AA32" s="71" t="s">
        <v>73</v>
      </c>
      <c r="AB32" s="63" t="s">
        <v>223</v>
      </c>
      <c r="AC32" s="63" t="s">
        <v>224</v>
      </c>
      <c r="AD32" s="63" t="s">
        <v>225</v>
      </c>
      <c r="AE32" s="63" t="s">
        <v>226</v>
      </c>
      <c r="AF32" s="63" t="s">
        <v>227</v>
      </c>
    </row>
    <row r="33" spans="1:34" x14ac:dyDescent="0.25">
      <c r="A33" t="s">
        <v>12</v>
      </c>
      <c r="B33" s="11" t="s">
        <v>157</v>
      </c>
      <c r="C33" s="18" t="s">
        <v>158</v>
      </c>
      <c r="N33" t="s">
        <v>334</v>
      </c>
      <c r="O33">
        <f>60*O30</f>
        <v>12.9</v>
      </c>
      <c r="P33" t="s">
        <v>333</v>
      </c>
      <c r="Q33" s="17" t="s">
        <v>156</v>
      </c>
      <c r="R33" s="49">
        <f>O33/$F$5</f>
        <v>0.38703870387038708</v>
      </c>
      <c r="S33" t="s">
        <v>209</v>
      </c>
      <c r="Y33" s="4" t="s">
        <v>252</v>
      </c>
      <c r="Z33" s="63"/>
      <c r="AA33" s="71"/>
      <c r="AB33" s="63"/>
      <c r="AC33" s="63"/>
      <c r="AD33" s="63"/>
      <c r="AE33" s="63"/>
      <c r="AF33" s="63"/>
    </row>
    <row r="34" spans="1:34" x14ac:dyDescent="0.25">
      <c r="A34" t="s">
        <v>159</v>
      </c>
      <c r="B34" s="11">
        <v>0.8</v>
      </c>
      <c r="C34" s="18">
        <v>0.24</v>
      </c>
      <c r="N34" t="s">
        <v>200</v>
      </c>
      <c r="O34">
        <v>3</v>
      </c>
      <c r="P34" t="s">
        <v>206</v>
      </c>
      <c r="Q34" s="17" t="s">
        <v>156</v>
      </c>
      <c r="R34" s="49">
        <f>O34/$F$5</f>
        <v>9.0009000900090008E-2</v>
      </c>
      <c r="S34" t="s">
        <v>209</v>
      </c>
      <c r="Y34" s="30" t="s">
        <v>269</v>
      </c>
      <c r="Z34" s="30">
        <f>Z11*Z23</f>
        <v>0.21249999999999999</v>
      </c>
      <c r="AA34" s="30">
        <f>Z12*Z24</f>
        <v>0.27839999999999998</v>
      </c>
      <c r="AB34" s="30">
        <f>Z13*Z25</f>
        <v>0.45</v>
      </c>
      <c r="AC34" s="30">
        <f>Z14*Z25</f>
        <v>0.81</v>
      </c>
      <c r="AD34" s="30">
        <f>Z15*Z26</f>
        <v>0.315</v>
      </c>
      <c r="AE34" s="30">
        <f>Z16*Z26</f>
        <v>0.12375000000000001</v>
      </c>
      <c r="AF34" s="30">
        <f>Z17*Z26</f>
        <v>0.27900000000000003</v>
      </c>
    </row>
    <row r="35" spans="1:34" x14ac:dyDescent="0.25">
      <c r="A35" t="s">
        <v>160</v>
      </c>
      <c r="B35" s="11">
        <v>0.02</v>
      </c>
      <c r="C35" s="18">
        <v>0.47499999999999998</v>
      </c>
      <c r="N35" t="s">
        <v>185</v>
      </c>
      <c r="Q35" s="17" t="s">
        <v>156</v>
      </c>
      <c r="R35" s="49">
        <f>(0.045+0.07)/2</f>
        <v>5.7500000000000002E-2</v>
      </c>
      <c r="S35" t="s">
        <v>209</v>
      </c>
      <c r="Y35" s="30" t="s">
        <v>270</v>
      </c>
      <c r="Z35" s="27" t="s">
        <v>51</v>
      </c>
      <c r="AA35" s="30">
        <f>Z12*AA24</f>
        <v>0.34800000000000003</v>
      </c>
      <c r="AB35" s="30">
        <f>Z13*AA25</f>
        <v>0.42499999999999999</v>
      </c>
      <c r="AC35" s="30">
        <f>Z14*AA25</f>
        <v>0.76500000000000001</v>
      </c>
      <c r="AD35" s="30">
        <f>Z15*AA26</f>
        <v>0.30099999999999999</v>
      </c>
      <c r="AE35" s="30">
        <f>Z16*AA26</f>
        <v>0.11825000000000001</v>
      </c>
      <c r="AF35" s="30">
        <f>Z17*AA26</f>
        <v>0.2666</v>
      </c>
    </row>
    <row r="36" spans="1:34" x14ac:dyDescent="0.25">
      <c r="A36" t="s">
        <v>15</v>
      </c>
      <c r="B36" s="19">
        <v>0.14000000000000001</v>
      </c>
      <c r="C36" s="18">
        <v>0.55000000000000004</v>
      </c>
      <c r="N36" t="s">
        <v>172</v>
      </c>
      <c r="Q36" s="17" t="s">
        <v>156</v>
      </c>
      <c r="R36" s="42">
        <v>3.7999999999999999E-2</v>
      </c>
      <c r="S36" t="s">
        <v>209</v>
      </c>
      <c r="T36" t="s">
        <v>199</v>
      </c>
      <c r="Y36" t="s">
        <v>267</v>
      </c>
      <c r="Z36" s="36" t="s">
        <v>51</v>
      </c>
      <c r="AA36" s="30">
        <f>Z12*AB24</f>
        <v>0.26100000000000001</v>
      </c>
      <c r="AB36" s="30">
        <f>Z13*AB25</f>
        <v>0.4</v>
      </c>
      <c r="AC36" s="30">
        <f>AB25*Z14</f>
        <v>0.72000000000000008</v>
      </c>
      <c r="AD36" s="30">
        <f>AB26*Z15</f>
        <v>0.35</v>
      </c>
      <c r="AE36" s="30">
        <f>AB26*Z16</f>
        <v>0.13750000000000001</v>
      </c>
      <c r="AF36" s="30">
        <f>AB26*Z17</f>
        <v>0.31</v>
      </c>
      <c r="AH36" s="14"/>
    </row>
    <row r="37" spans="1:34" x14ac:dyDescent="0.25">
      <c r="A37" t="s">
        <v>16</v>
      </c>
      <c r="B37" s="19">
        <v>0.04</v>
      </c>
      <c r="C37" s="18">
        <v>0.7</v>
      </c>
      <c r="R37" s="3"/>
      <c r="Y37" t="s">
        <v>271</v>
      </c>
      <c r="Z37" s="36" t="s">
        <v>51</v>
      </c>
      <c r="AA37" s="30">
        <f>Z12*AC24</f>
        <v>0.31755</v>
      </c>
      <c r="AB37" s="30">
        <f>AC25*Z13</f>
        <v>0.41</v>
      </c>
      <c r="AC37" s="30">
        <f>AC25*Z14</f>
        <v>0.73799999999999999</v>
      </c>
      <c r="AD37" s="30">
        <f>AC26*Z15</f>
        <v>0.315</v>
      </c>
      <c r="AE37" s="39">
        <f>AC26*Z16</f>
        <v>0.12375000000000001</v>
      </c>
      <c r="AF37" s="30">
        <f>AC26*Z17</f>
        <v>0.27900000000000003</v>
      </c>
    </row>
    <row r="38" spans="1:34" x14ac:dyDescent="0.25">
      <c r="A38" t="s">
        <v>161</v>
      </c>
      <c r="B38" s="11">
        <v>1</v>
      </c>
      <c r="C38" s="52">
        <f>C34*B34+C35*B35+C36*B36+C37*B37</f>
        <v>0.30649999999999999</v>
      </c>
      <c r="N38" s="4" t="s">
        <v>298</v>
      </c>
      <c r="R38" s="3"/>
      <c r="Z38" s="11"/>
      <c r="AD38" s="14"/>
    </row>
    <row r="39" spans="1:34" x14ac:dyDescent="0.25">
      <c r="B39" s="11"/>
      <c r="N39" t="s">
        <v>10</v>
      </c>
      <c r="O39">
        <v>2.31</v>
      </c>
      <c r="P39" t="s">
        <v>212</v>
      </c>
      <c r="Q39" s="17" t="s">
        <v>156</v>
      </c>
      <c r="R39" s="49">
        <f>O39/G3</f>
        <v>0.26392459297343618</v>
      </c>
      <c r="S39" t="s">
        <v>209</v>
      </c>
    </row>
    <row r="40" spans="1:34" x14ac:dyDescent="0.25">
      <c r="A40" s="4" t="s">
        <v>162</v>
      </c>
      <c r="N40" t="s">
        <v>207</v>
      </c>
      <c r="O40">
        <v>2.64</v>
      </c>
      <c r="P40" t="s">
        <v>212</v>
      </c>
      <c r="Q40" s="17" t="s">
        <v>156</v>
      </c>
      <c r="R40" s="49">
        <f>O40/G4</f>
        <v>0.26658319112197199</v>
      </c>
      <c r="S40" t="s">
        <v>209</v>
      </c>
      <c r="Y40" t="s">
        <v>265</v>
      </c>
      <c r="Z40" s="11" t="s">
        <v>234</v>
      </c>
      <c r="AA40" s="11" t="s">
        <v>235</v>
      </c>
      <c r="AB40" s="11" t="s">
        <v>236</v>
      </c>
      <c r="AC40" s="11" t="s">
        <v>237</v>
      </c>
    </row>
    <row r="41" spans="1:34" x14ac:dyDescent="0.25">
      <c r="A41" t="s">
        <v>12</v>
      </c>
      <c r="B41" s="11" t="s">
        <v>157</v>
      </c>
      <c r="C41" s="18" t="s">
        <v>158</v>
      </c>
      <c r="N41" t="s">
        <v>208</v>
      </c>
      <c r="O41">
        <v>1.77</v>
      </c>
      <c r="P41" t="s">
        <v>212</v>
      </c>
      <c r="Q41" s="17" t="s">
        <v>156</v>
      </c>
      <c r="R41" s="3"/>
      <c r="Y41" t="s">
        <v>238</v>
      </c>
      <c r="Z41" s="11" t="s">
        <v>239</v>
      </c>
      <c r="AA41" s="11" t="s">
        <v>240</v>
      </c>
      <c r="AB41" s="11" t="s">
        <v>241</v>
      </c>
      <c r="AC41" s="11" t="s">
        <v>242</v>
      </c>
    </row>
    <row r="42" spans="1:34" x14ac:dyDescent="0.25">
      <c r="A42" t="s">
        <v>163</v>
      </c>
      <c r="B42" s="11">
        <v>0.8</v>
      </c>
      <c r="C42" s="18">
        <v>0.14000000000000001</v>
      </c>
      <c r="N42" t="s">
        <v>185</v>
      </c>
      <c r="O42">
        <v>2.75</v>
      </c>
      <c r="P42" t="s">
        <v>212</v>
      </c>
      <c r="Q42" s="17" t="s">
        <v>156</v>
      </c>
      <c r="R42" s="49">
        <v>0.20499999999999999</v>
      </c>
      <c r="S42" t="s">
        <v>209</v>
      </c>
      <c r="Y42" t="s">
        <v>243</v>
      </c>
      <c r="Z42" s="11" t="s">
        <v>244</v>
      </c>
      <c r="AA42" s="11" t="s">
        <v>240</v>
      </c>
      <c r="AB42" s="11" t="s">
        <v>245</v>
      </c>
      <c r="AC42" t="s">
        <v>246</v>
      </c>
      <c r="AD42" s="11"/>
    </row>
    <row r="43" spans="1:34" x14ac:dyDescent="0.25">
      <c r="A43" t="s">
        <v>160</v>
      </c>
      <c r="B43" s="11">
        <v>0.02</v>
      </c>
      <c r="C43" s="18">
        <v>0.47499999999999998</v>
      </c>
      <c r="Q43" s="17"/>
      <c r="R43" s="3"/>
      <c r="Y43" t="s">
        <v>247</v>
      </c>
      <c r="Z43" s="11" t="s">
        <v>248</v>
      </c>
      <c r="AA43" s="11" t="s">
        <v>240</v>
      </c>
      <c r="AB43" s="11" t="s">
        <v>249</v>
      </c>
      <c r="AC43" t="s">
        <v>250</v>
      </c>
      <c r="AD43" s="11"/>
    </row>
    <row r="44" spans="1:34" x14ac:dyDescent="0.25">
      <c r="A44" t="s">
        <v>15</v>
      </c>
      <c r="B44" s="12">
        <v>0.14000000000000001</v>
      </c>
      <c r="C44" s="18">
        <v>0.55000000000000004</v>
      </c>
      <c r="Q44" s="17"/>
      <c r="R44" s="3"/>
    </row>
    <row r="45" spans="1:34" x14ac:dyDescent="0.25">
      <c r="A45" t="s">
        <v>16</v>
      </c>
      <c r="B45" s="11">
        <v>0.06</v>
      </c>
      <c r="C45" s="18">
        <v>0.7</v>
      </c>
      <c r="R45" s="17"/>
    </row>
    <row r="46" spans="1:34" x14ac:dyDescent="0.25">
      <c r="A46" t="s">
        <v>161</v>
      </c>
      <c r="B46" s="11">
        <v>1</v>
      </c>
      <c r="C46" s="52">
        <f>C42*B42+C43*B43+C44*B44+C45*B45</f>
        <v>0.24049999999999999</v>
      </c>
      <c r="N46" s="4" t="s">
        <v>382</v>
      </c>
    </row>
    <row r="47" spans="1:34" x14ac:dyDescent="0.25">
      <c r="B47" s="11"/>
      <c r="N47" s="4" t="s">
        <v>336</v>
      </c>
      <c r="O47" t="s">
        <v>49</v>
      </c>
      <c r="P47" t="s">
        <v>50</v>
      </c>
      <c r="Q47" t="s">
        <v>267</v>
      </c>
      <c r="R47" t="s">
        <v>271</v>
      </c>
      <c r="AA47" t="s">
        <v>253</v>
      </c>
    </row>
    <row r="48" spans="1:34" x14ac:dyDescent="0.25">
      <c r="A48" s="4" t="s">
        <v>164</v>
      </c>
      <c r="N48" t="s">
        <v>10</v>
      </c>
      <c r="O48" s="42">
        <v>6000</v>
      </c>
      <c r="P48" s="27" t="s">
        <v>51</v>
      </c>
      <c r="Q48" s="27" t="s">
        <v>51</v>
      </c>
      <c r="R48" s="27" t="s">
        <v>51</v>
      </c>
      <c r="Y48" t="s">
        <v>254</v>
      </c>
      <c r="Z48" s="30" t="s">
        <v>255</v>
      </c>
      <c r="AA48" t="s">
        <v>256</v>
      </c>
      <c r="AB48" s="11"/>
      <c r="AC48" s="16"/>
    </row>
    <row r="49" spans="1:29" x14ac:dyDescent="0.25">
      <c r="A49" t="s">
        <v>12</v>
      </c>
      <c r="B49" s="11" t="s">
        <v>157</v>
      </c>
      <c r="C49" s="18" t="s">
        <v>158</v>
      </c>
      <c r="N49" t="s">
        <v>73</v>
      </c>
      <c r="O49" s="42">
        <v>6000</v>
      </c>
      <c r="P49" s="42">
        <v>60000</v>
      </c>
      <c r="Q49" s="42">
        <v>50000</v>
      </c>
      <c r="R49" s="42">
        <v>50000</v>
      </c>
      <c r="Y49" t="s">
        <v>257</v>
      </c>
      <c r="Z49" s="30" t="s">
        <v>258</v>
      </c>
      <c r="AA49" t="s">
        <v>259</v>
      </c>
      <c r="AC49" s="16"/>
    </row>
    <row r="50" spans="1:29" x14ac:dyDescent="0.25">
      <c r="A50" t="s">
        <v>160</v>
      </c>
      <c r="B50" s="11">
        <v>0.3</v>
      </c>
      <c r="C50" s="18">
        <v>0.47499999999999998</v>
      </c>
      <c r="N50" t="s">
        <v>147</v>
      </c>
      <c r="O50" s="42">
        <v>12000</v>
      </c>
      <c r="P50" s="42">
        <v>110000</v>
      </c>
      <c r="Q50" s="42">
        <v>85000</v>
      </c>
      <c r="R50" s="42">
        <v>85000</v>
      </c>
      <c r="Y50" t="s">
        <v>260</v>
      </c>
      <c r="Z50" s="30" t="s">
        <v>240</v>
      </c>
      <c r="AA50" t="s">
        <v>261</v>
      </c>
    </row>
    <row r="51" spans="1:29" x14ac:dyDescent="0.25">
      <c r="A51" t="s">
        <v>15</v>
      </c>
      <c r="B51" s="11">
        <v>0.5</v>
      </c>
      <c r="C51" s="18">
        <v>0.55000000000000004</v>
      </c>
      <c r="N51" t="s">
        <v>148</v>
      </c>
      <c r="O51" s="42">
        <v>14000</v>
      </c>
      <c r="P51" s="42">
        <v>125000</v>
      </c>
      <c r="Q51" s="42">
        <v>95000</v>
      </c>
      <c r="R51" s="42">
        <v>95000</v>
      </c>
      <c r="Y51" t="s">
        <v>262</v>
      </c>
      <c r="Z51" s="30" t="s">
        <v>240</v>
      </c>
      <c r="AA51" t="s">
        <v>263</v>
      </c>
    </row>
    <row r="52" spans="1:29" x14ac:dyDescent="0.25">
      <c r="A52" t="s">
        <v>16</v>
      </c>
      <c r="B52" s="11">
        <v>0.2</v>
      </c>
      <c r="C52" s="18">
        <v>0.7</v>
      </c>
    </row>
    <row r="53" spans="1:29" x14ac:dyDescent="0.25">
      <c r="A53" t="s">
        <v>161</v>
      </c>
      <c r="B53" s="11">
        <v>1</v>
      </c>
      <c r="C53" s="52">
        <f>C50*B50+C51*B51+C52*B52</f>
        <v>0.5575</v>
      </c>
    </row>
    <row r="54" spans="1:29" x14ac:dyDescent="0.25">
      <c r="N54" s="4" t="s">
        <v>424</v>
      </c>
    </row>
    <row r="55" spans="1:29" x14ac:dyDescent="0.25">
      <c r="N55" s="41" t="s">
        <v>275</v>
      </c>
      <c r="O55" s="41" t="s">
        <v>276</v>
      </c>
      <c r="P55" s="41" t="s">
        <v>392</v>
      </c>
      <c r="Q55" s="41" t="s">
        <v>393</v>
      </c>
      <c r="R55" s="41" t="s">
        <v>439</v>
      </c>
      <c r="S55" s="41" t="s">
        <v>440</v>
      </c>
      <c r="T55" s="41" t="s">
        <v>441</v>
      </c>
      <c r="U55" s="41" t="s">
        <v>442</v>
      </c>
      <c r="V55" s="24"/>
      <c r="Y55" s="4" t="s">
        <v>275</v>
      </c>
      <c r="Z55" s="4" t="s">
        <v>276</v>
      </c>
      <c r="AA55" s="4" t="s">
        <v>277</v>
      </c>
      <c r="AB55" s="34" t="s">
        <v>278</v>
      </c>
    </row>
    <row r="56" spans="1:29" x14ac:dyDescent="0.25">
      <c r="A56" s="4" t="s">
        <v>303</v>
      </c>
      <c r="O56" t="s">
        <v>143</v>
      </c>
      <c r="P56" t="s">
        <v>3</v>
      </c>
      <c r="Q56" t="s">
        <v>437</v>
      </c>
      <c r="R56" t="s">
        <v>438</v>
      </c>
      <c r="S56" t="s">
        <v>3</v>
      </c>
      <c r="T56" t="s">
        <v>437</v>
      </c>
      <c r="U56" t="s">
        <v>438</v>
      </c>
      <c r="V56" s="24"/>
      <c r="Y56" t="s">
        <v>270</v>
      </c>
      <c r="Z56" t="s">
        <v>73</v>
      </c>
      <c r="AA56" t="s">
        <v>279</v>
      </c>
      <c r="AB56" s="11" t="s">
        <v>280</v>
      </c>
    </row>
    <row r="57" spans="1:29" x14ac:dyDescent="0.25">
      <c r="A57" t="s">
        <v>304</v>
      </c>
      <c r="N57" t="s">
        <v>269</v>
      </c>
      <c r="O57" t="s">
        <v>10</v>
      </c>
      <c r="P57" s="42">
        <v>300000</v>
      </c>
      <c r="Q57" s="42">
        <v>16</v>
      </c>
      <c r="R57" s="42">
        <v>15000</v>
      </c>
      <c r="S57" s="61">
        <f>AVERAGE(P57:P60)</f>
        <v>381250</v>
      </c>
      <c r="T57" s="62">
        <f t="shared" ref="T57:U57" si="1">AVERAGE(Q57:Q60)</f>
        <v>15.75</v>
      </c>
      <c r="U57" s="61">
        <f t="shared" si="1"/>
        <v>17250</v>
      </c>
      <c r="V57" s="24"/>
      <c r="Z57" t="s">
        <v>95</v>
      </c>
      <c r="AA57" t="s">
        <v>131</v>
      </c>
      <c r="AB57" s="11" t="s">
        <v>281</v>
      </c>
    </row>
    <row r="58" spans="1:29" x14ac:dyDescent="0.25">
      <c r="A58" s="4" t="s">
        <v>251</v>
      </c>
      <c r="B58" s="63" t="s">
        <v>10</v>
      </c>
      <c r="C58" s="63"/>
      <c r="D58" s="63" t="s">
        <v>73</v>
      </c>
      <c r="E58" s="63"/>
      <c r="F58" s="63" t="s">
        <v>331</v>
      </c>
      <c r="G58" s="63"/>
      <c r="H58" s="63" t="s">
        <v>83</v>
      </c>
      <c r="I58" s="63"/>
      <c r="O58" t="s">
        <v>73</v>
      </c>
      <c r="P58" s="42">
        <f>(450+300)/2*1000</f>
        <v>375000</v>
      </c>
      <c r="Q58" s="42">
        <v>16</v>
      </c>
      <c r="R58" s="42">
        <f>38000/2</f>
        <v>19000</v>
      </c>
      <c r="S58" s="61"/>
      <c r="T58" s="62"/>
      <c r="U58" s="61"/>
      <c r="V58" s="24"/>
      <c r="Y58" t="s">
        <v>267</v>
      </c>
      <c r="Z58" t="s">
        <v>73</v>
      </c>
      <c r="AA58" t="s">
        <v>282</v>
      </c>
      <c r="AB58" s="11" t="s">
        <v>283</v>
      </c>
    </row>
    <row r="59" spans="1:29" x14ac:dyDescent="0.25">
      <c r="A59" t="s">
        <v>305</v>
      </c>
      <c r="B59" t="s">
        <v>306</v>
      </c>
      <c r="C59">
        <v>5000</v>
      </c>
      <c r="D59" t="s">
        <v>307</v>
      </c>
      <c r="E59">
        <v>5500</v>
      </c>
      <c r="F59" t="s">
        <v>308</v>
      </c>
      <c r="G59">
        <v>2000</v>
      </c>
      <c r="H59" t="s">
        <v>309</v>
      </c>
      <c r="I59">
        <v>3500</v>
      </c>
      <c r="O59" t="s">
        <v>95</v>
      </c>
      <c r="P59" s="42">
        <f>(400000 + 600000)/2</f>
        <v>500000</v>
      </c>
      <c r="Q59" s="42">
        <f>35/2</f>
        <v>17.5</v>
      </c>
      <c r="R59" s="42">
        <f>35000/2</f>
        <v>17500</v>
      </c>
      <c r="S59" s="61"/>
      <c r="T59" s="62"/>
      <c r="U59" s="61"/>
      <c r="V59" s="24"/>
      <c r="Z59" t="s">
        <v>95</v>
      </c>
      <c r="AA59" t="s">
        <v>284</v>
      </c>
      <c r="AB59" s="11" t="s">
        <v>289</v>
      </c>
    </row>
    <row r="60" spans="1:29" x14ac:dyDescent="0.25">
      <c r="A60" t="s">
        <v>310</v>
      </c>
      <c r="B60" t="s">
        <v>311</v>
      </c>
      <c r="C60">
        <v>1400</v>
      </c>
      <c r="D60" t="s">
        <v>311</v>
      </c>
      <c r="E60">
        <v>1400</v>
      </c>
      <c r="F60" t="s">
        <v>312</v>
      </c>
      <c r="G60">
        <v>600</v>
      </c>
      <c r="H60" t="s">
        <v>313</v>
      </c>
      <c r="I60">
        <v>800</v>
      </c>
      <c r="O60" t="s">
        <v>83</v>
      </c>
      <c r="P60" s="42">
        <f>(300000 + 400000)/2</f>
        <v>350000</v>
      </c>
      <c r="Q60" s="42">
        <f>27/2</f>
        <v>13.5</v>
      </c>
      <c r="R60" s="42">
        <f>35/2*1000</f>
        <v>17500</v>
      </c>
      <c r="S60" s="61"/>
      <c r="T60" s="62"/>
      <c r="U60" s="61"/>
      <c r="V60" s="24"/>
      <c r="Y60" t="s">
        <v>271</v>
      </c>
      <c r="Z60" t="s">
        <v>73</v>
      </c>
      <c r="AA60" t="s">
        <v>285</v>
      </c>
      <c r="AB60" s="11" t="s">
        <v>286</v>
      </c>
    </row>
    <row r="61" spans="1:29" x14ac:dyDescent="0.25">
      <c r="A61" t="s">
        <v>314</v>
      </c>
      <c r="B61" t="s">
        <v>51</v>
      </c>
      <c r="C61" t="s">
        <v>51</v>
      </c>
      <c r="D61" t="s">
        <v>51</v>
      </c>
      <c r="E61" t="s">
        <v>51</v>
      </c>
      <c r="F61" t="s">
        <v>315</v>
      </c>
      <c r="G61">
        <v>4000</v>
      </c>
      <c r="H61" t="s">
        <v>51</v>
      </c>
      <c r="N61" t="s">
        <v>396</v>
      </c>
      <c r="O61" t="s">
        <v>73</v>
      </c>
      <c r="P61" s="42">
        <f>(1200000 +1600000)/2</f>
        <v>1400000</v>
      </c>
      <c r="Q61" s="42">
        <f>13/2</f>
        <v>6.5</v>
      </c>
      <c r="R61" s="42">
        <v>200000</v>
      </c>
      <c r="S61" s="61">
        <f>AVERAGE(P61:P63)</f>
        <v>1216666.6666666667</v>
      </c>
      <c r="T61" s="62">
        <f t="shared" ref="T61:U61" si="2">AVERAGE(Q61:Q63)</f>
        <v>7.166666666666667</v>
      </c>
      <c r="U61" s="69">
        <f t="shared" si="2"/>
        <v>173333.33333333334</v>
      </c>
      <c r="V61" s="24"/>
      <c r="Z61" t="s">
        <v>95</v>
      </c>
      <c r="AA61" t="s">
        <v>287</v>
      </c>
      <c r="AB61" s="11" t="s">
        <v>288</v>
      </c>
    </row>
    <row r="62" spans="1:29" x14ac:dyDescent="0.25">
      <c r="A62" t="s">
        <v>316</v>
      </c>
      <c r="B62" t="s">
        <v>317</v>
      </c>
      <c r="C62">
        <v>400</v>
      </c>
      <c r="D62" t="s">
        <v>317</v>
      </c>
      <c r="E62">
        <v>400</v>
      </c>
      <c r="F62" t="s">
        <v>318</v>
      </c>
      <c r="G62">
        <v>300</v>
      </c>
      <c r="H62" t="s">
        <v>317</v>
      </c>
      <c r="I62">
        <v>400</v>
      </c>
      <c r="O62" t="s">
        <v>95</v>
      </c>
      <c r="P62" s="42">
        <f>(1000000 + 1500000)/2</f>
        <v>1250000</v>
      </c>
      <c r="Q62" s="42">
        <f>17/2</f>
        <v>8.5</v>
      </c>
      <c r="R62" s="42">
        <f>(120000 +200000 )/2</f>
        <v>160000</v>
      </c>
      <c r="S62" s="61"/>
      <c r="T62" s="62"/>
      <c r="U62" s="69"/>
      <c r="V62" s="24"/>
    </row>
    <row r="63" spans="1:29" x14ac:dyDescent="0.25">
      <c r="A63" t="s">
        <v>319</v>
      </c>
      <c r="B63" t="s">
        <v>51</v>
      </c>
      <c r="C63" t="s">
        <v>51</v>
      </c>
      <c r="D63" t="s">
        <v>51</v>
      </c>
      <c r="E63" t="s">
        <v>51</v>
      </c>
      <c r="F63" t="s">
        <v>51</v>
      </c>
      <c r="G63" t="s">
        <v>51</v>
      </c>
      <c r="H63" t="s">
        <v>320</v>
      </c>
      <c r="I63">
        <v>25000</v>
      </c>
      <c r="O63" t="s">
        <v>83</v>
      </c>
      <c r="P63" s="42">
        <f>(800000 + 1200000 )/2</f>
        <v>1000000</v>
      </c>
      <c r="Q63" s="42">
        <f>13/2</f>
        <v>6.5</v>
      </c>
      <c r="R63" s="42">
        <f>(120000 + 200000)/2</f>
        <v>160000</v>
      </c>
      <c r="S63" s="61"/>
      <c r="T63" s="62"/>
      <c r="U63" s="69"/>
    </row>
    <row r="64" spans="1:29" x14ac:dyDescent="0.25">
      <c r="A64" t="s">
        <v>321</v>
      </c>
      <c r="B64" t="s">
        <v>322</v>
      </c>
      <c r="C64">
        <v>3000</v>
      </c>
      <c r="D64" t="s">
        <v>323</v>
      </c>
      <c r="E64">
        <f>(2500+5000)/2</f>
        <v>3750</v>
      </c>
      <c r="F64" t="s">
        <v>324</v>
      </c>
      <c r="G64">
        <v>1000</v>
      </c>
      <c r="H64" t="s">
        <v>325</v>
      </c>
      <c r="I64">
        <v>1500</v>
      </c>
      <c r="N64" t="s">
        <v>267</v>
      </c>
      <c r="O64" t="s">
        <v>73</v>
      </c>
      <c r="P64" s="42">
        <f>(800000 + 1200000)/2</f>
        <v>1000000</v>
      </c>
      <c r="Q64" s="42">
        <f>27/2</f>
        <v>13.5</v>
      </c>
      <c r="R64" s="42">
        <f>(60000 +80000)/2</f>
        <v>70000</v>
      </c>
      <c r="S64" s="61">
        <f t="shared" ref="S64" si="3">AVERAGE(P64:P66)</f>
        <v>933333.33333333337</v>
      </c>
      <c r="T64" s="62">
        <f t="shared" ref="T64" si="4">AVERAGE(Q64:Q66)</f>
        <v>13</v>
      </c>
      <c r="U64" s="61">
        <f t="shared" ref="U64" si="5">AVERAGE(R64:R66)</f>
        <v>70000</v>
      </c>
    </row>
    <row r="65" spans="1:21" x14ac:dyDescent="0.25">
      <c r="A65" t="s">
        <v>326</v>
      </c>
      <c r="B65" t="s">
        <v>327</v>
      </c>
      <c r="C65">
        <v>1200</v>
      </c>
      <c r="D65" t="s">
        <v>328</v>
      </c>
      <c r="E65">
        <f>(13100+9000)/2</f>
        <v>11050</v>
      </c>
      <c r="F65" t="s">
        <v>329</v>
      </c>
      <c r="G65">
        <f>(3600+2600)/2</f>
        <v>3100</v>
      </c>
      <c r="H65" t="s">
        <v>330</v>
      </c>
      <c r="I65">
        <f>(24900+35000)/2</f>
        <v>29950</v>
      </c>
      <c r="O65" t="s">
        <v>95</v>
      </c>
      <c r="P65" s="42">
        <f>(800000+ 1200000)/2</f>
        <v>1000000</v>
      </c>
      <c r="Q65" s="42">
        <f>27/2</f>
        <v>13.5</v>
      </c>
      <c r="R65" s="42">
        <f>(60000+80000)/2</f>
        <v>70000</v>
      </c>
      <c r="S65" s="61"/>
      <c r="T65" s="62"/>
      <c r="U65" s="61"/>
    </row>
    <row r="66" spans="1:21" x14ac:dyDescent="0.25">
      <c r="O66" t="s">
        <v>83</v>
      </c>
      <c r="P66" s="42">
        <f>(600000+ 1000000)/2</f>
        <v>800000</v>
      </c>
      <c r="Q66" s="42">
        <f>12</f>
        <v>12</v>
      </c>
      <c r="R66" s="42">
        <v>70000</v>
      </c>
      <c r="S66" s="61"/>
      <c r="T66" s="62"/>
      <c r="U66" s="61"/>
    </row>
    <row r="67" spans="1:21" x14ac:dyDescent="0.25">
      <c r="A67" s="4" t="s">
        <v>459</v>
      </c>
      <c r="B67" s="4"/>
      <c r="C67" s="4"/>
      <c r="D67" s="4"/>
      <c r="E67" s="4"/>
      <c r="F67" s="4"/>
      <c r="N67" t="s">
        <v>271</v>
      </c>
      <c r="O67" t="s">
        <v>73</v>
      </c>
      <c r="P67" s="42">
        <f>(1000000+1500000)/2</f>
        <v>1250000</v>
      </c>
      <c r="Q67" s="42">
        <v>15</v>
      </c>
      <c r="R67" s="42">
        <f>170/2*1000</f>
        <v>85000</v>
      </c>
      <c r="S67" s="61">
        <f t="shared" ref="S67" si="6">AVERAGE(P67:P69)</f>
        <v>1166666.6666666667</v>
      </c>
      <c r="T67" s="62">
        <f t="shared" ref="T67" si="7">AVERAGE(Q67:Q69)</f>
        <v>14.666666666666666</v>
      </c>
      <c r="U67" s="61">
        <f t="shared" ref="U67" si="8">AVERAGE(R67:R69)</f>
        <v>85000</v>
      </c>
    </row>
    <row r="68" spans="1:21" x14ac:dyDescent="0.25">
      <c r="A68" s="4" t="s">
        <v>275</v>
      </c>
      <c r="B68" s="4" t="s">
        <v>276</v>
      </c>
      <c r="C68" s="64" t="s">
        <v>447</v>
      </c>
      <c r="D68" s="64"/>
      <c r="E68" s="4" t="s">
        <v>448</v>
      </c>
      <c r="F68" s="4"/>
      <c r="G68" s="4"/>
      <c r="O68" t="s">
        <v>95</v>
      </c>
      <c r="P68" s="42">
        <f>(1000000+1500000 )/2</f>
        <v>1250000</v>
      </c>
      <c r="Q68" s="42">
        <v>15</v>
      </c>
      <c r="R68" s="42">
        <f>170/2*1000</f>
        <v>85000</v>
      </c>
      <c r="S68" s="61"/>
      <c r="T68" s="62"/>
      <c r="U68" s="61"/>
    </row>
    <row r="69" spans="1:21" x14ac:dyDescent="0.25">
      <c r="A69" t="s">
        <v>269</v>
      </c>
      <c r="B69" t="s">
        <v>10</v>
      </c>
      <c r="C69" s="27" t="s">
        <v>469</v>
      </c>
      <c r="D69" s="42">
        <f>(0.06+0.1)/2</f>
        <v>0.08</v>
      </c>
      <c r="E69" s="27" t="s">
        <v>465</v>
      </c>
      <c r="F69" s="4"/>
      <c r="G69" s="4"/>
      <c r="O69" t="s">
        <v>83</v>
      </c>
      <c r="P69" s="42">
        <f>(800000 +1200000)/2</f>
        <v>1000000</v>
      </c>
      <c r="Q69" s="42">
        <v>14</v>
      </c>
      <c r="R69" s="42">
        <f>170/2*1000</f>
        <v>85000</v>
      </c>
      <c r="S69" s="61"/>
      <c r="T69" s="62"/>
      <c r="U69" s="61"/>
    </row>
    <row r="70" spans="1:21" x14ac:dyDescent="0.25">
      <c r="B70" t="s">
        <v>73</v>
      </c>
      <c r="C70" s="27" t="s">
        <v>470</v>
      </c>
      <c r="D70" s="42">
        <f>(0.05+0.08)/2</f>
        <v>6.5000000000000002E-2</v>
      </c>
      <c r="E70" s="27" t="s">
        <v>466</v>
      </c>
      <c r="F70" s="4"/>
      <c r="G70" s="4"/>
    </row>
    <row r="71" spans="1:21" x14ac:dyDescent="0.25">
      <c r="B71" t="s">
        <v>95</v>
      </c>
      <c r="C71" s="27" t="s">
        <v>471</v>
      </c>
      <c r="D71" s="42">
        <f>(0.02+0.04)/2</f>
        <v>0.03</v>
      </c>
      <c r="E71" s="27" t="s">
        <v>467</v>
      </c>
      <c r="F71" s="4"/>
      <c r="G71" s="4"/>
    </row>
    <row r="72" spans="1:21" x14ac:dyDescent="0.25">
      <c r="B72" t="s">
        <v>83</v>
      </c>
      <c r="C72" s="27" t="s">
        <v>472</v>
      </c>
      <c r="D72" s="42">
        <f>(0.04+0.07)/2</f>
        <v>5.5000000000000007E-2</v>
      </c>
      <c r="E72" s="27" t="s">
        <v>468</v>
      </c>
      <c r="F72" s="4"/>
      <c r="G72" s="4"/>
      <c r="N72" s="4" t="s">
        <v>336</v>
      </c>
      <c r="O72" s="4" t="s">
        <v>337</v>
      </c>
      <c r="P72" s="4" t="s">
        <v>129</v>
      </c>
      <c r="Q72" s="4"/>
    </row>
    <row r="73" spans="1:21" x14ac:dyDescent="0.25">
      <c r="A73" t="s">
        <v>449</v>
      </c>
      <c r="B73" t="s">
        <v>73</v>
      </c>
      <c r="C73" t="s">
        <v>473</v>
      </c>
      <c r="D73" s="42">
        <f>(0.2+0.3)/2</f>
        <v>0.25</v>
      </c>
      <c r="E73" t="s">
        <v>450</v>
      </c>
      <c r="N73" t="s">
        <v>338</v>
      </c>
      <c r="O73" t="s">
        <v>339</v>
      </c>
      <c r="P73" t="s">
        <v>340</v>
      </c>
    </row>
    <row r="74" spans="1:21" x14ac:dyDescent="0.25">
      <c r="B74" t="s">
        <v>95</v>
      </c>
      <c r="C74" t="s">
        <v>474</v>
      </c>
      <c r="D74" s="42">
        <f>(0.1+0.18)/2</f>
        <v>0.14000000000000001</v>
      </c>
      <c r="E74" t="s">
        <v>456</v>
      </c>
      <c r="N74" t="s">
        <v>341</v>
      </c>
      <c r="O74" t="s">
        <v>342</v>
      </c>
      <c r="P74" t="s">
        <v>343</v>
      </c>
    </row>
    <row r="75" spans="1:21" x14ac:dyDescent="0.25">
      <c r="B75" t="s">
        <v>83</v>
      </c>
      <c r="C75" t="s">
        <v>475</v>
      </c>
      <c r="D75" s="42">
        <f>(0.15+0.25)/2</f>
        <v>0.2</v>
      </c>
      <c r="E75" t="s">
        <v>457</v>
      </c>
      <c r="N75" t="s">
        <v>344</v>
      </c>
      <c r="O75" t="s">
        <v>345</v>
      </c>
      <c r="P75" t="s">
        <v>346</v>
      </c>
    </row>
    <row r="76" spans="1:21" x14ac:dyDescent="0.25">
      <c r="A76" t="s">
        <v>267</v>
      </c>
      <c r="B76" t="s">
        <v>73</v>
      </c>
      <c r="C76" t="s">
        <v>476</v>
      </c>
      <c r="D76" s="42">
        <f>(0.25+0.4)/2</f>
        <v>0.32500000000000001</v>
      </c>
      <c r="E76" t="s">
        <v>451</v>
      </c>
      <c r="N76" t="s">
        <v>347</v>
      </c>
      <c r="O76" t="s">
        <v>348</v>
      </c>
      <c r="P76" t="s">
        <v>349</v>
      </c>
    </row>
    <row r="77" spans="1:21" x14ac:dyDescent="0.25">
      <c r="B77" t="s">
        <v>95</v>
      </c>
      <c r="C77" t="s">
        <v>477</v>
      </c>
      <c r="D77" s="42">
        <f>(0.12+0.2)/2</f>
        <v>0.16</v>
      </c>
      <c r="E77" t="s">
        <v>458</v>
      </c>
      <c r="N77" t="s">
        <v>350</v>
      </c>
      <c r="O77" t="s">
        <v>351</v>
      </c>
      <c r="P77" t="s">
        <v>352</v>
      </c>
    </row>
    <row r="78" spans="1:21" x14ac:dyDescent="0.25">
      <c r="B78" t="s">
        <v>83</v>
      </c>
      <c r="C78" t="s">
        <v>478</v>
      </c>
      <c r="D78" s="42">
        <f>(0.2+0.35)/2</f>
        <v>0.27500000000000002</v>
      </c>
      <c r="E78" t="s">
        <v>452</v>
      </c>
      <c r="N78" t="s">
        <v>353</v>
      </c>
      <c r="O78" t="s">
        <v>354</v>
      </c>
      <c r="P78" t="s">
        <v>355</v>
      </c>
    </row>
    <row r="79" spans="1:21" x14ac:dyDescent="0.25">
      <c r="A79" t="s">
        <v>271</v>
      </c>
      <c r="B79" t="s">
        <v>73</v>
      </c>
      <c r="C79" t="s">
        <v>479</v>
      </c>
      <c r="D79" s="42">
        <f>(0.18+0.28)/2</f>
        <v>0.23</v>
      </c>
      <c r="E79" t="s">
        <v>453</v>
      </c>
      <c r="N79" t="s">
        <v>356</v>
      </c>
      <c r="O79" t="s">
        <v>357</v>
      </c>
      <c r="P79" t="s">
        <v>358</v>
      </c>
    </row>
    <row r="80" spans="1:21" x14ac:dyDescent="0.25">
      <c r="B80" t="s">
        <v>95</v>
      </c>
      <c r="C80" t="s">
        <v>480</v>
      </c>
      <c r="D80" s="42">
        <f>(0.1+0.17)/2</f>
        <v>0.13500000000000001</v>
      </c>
      <c r="E80" t="s">
        <v>454</v>
      </c>
      <c r="N80" t="s">
        <v>83</v>
      </c>
      <c r="O80" t="s">
        <v>378</v>
      </c>
      <c r="P80" t="s">
        <v>379</v>
      </c>
    </row>
    <row r="81" spans="1:19" x14ac:dyDescent="0.25">
      <c r="B81" t="s">
        <v>83</v>
      </c>
      <c r="C81" t="s">
        <v>481</v>
      </c>
      <c r="D81" s="42">
        <f>(0.16+0.28)/2</f>
        <v>0.22000000000000003</v>
      </c>
      <c r="E81" t="s">
        <v>455</v>
      </c>
      <c r="N81" t="s">
        <v>359</v>
      </c>
      <c r="O81" t="s">
        <v>360</v>
      </c>
    </row>
    <row r="82" spans="1:19" x14ac:dyDescent="0.25">
      <c r="N82" t="s">
        <v>361</v>
      </c>
      <c r="O82" t="s">
        <v>362</v>
      </c>
      <c r="P82" t="s">
        <v>363</v>
      </c>
    </row>
    <row r="83" spans="1:19" x14ac:dyDescent="0.25">
      <c r="N83" t="s">
        <v>380</v>
      </c>
      <c r="O83" t="s">
        <v>375</v>
      </c>
      <c r="P83" t="s">
        <v>381</v>
      </c>
    </row>
    <row r="84" spans="1:19" x14ac:dyDescent="0.25">
      <c r="N84" t="s">
        <v>371</v>
      </c>
      <c r="O84" t="s">
        <v>360</v>
      </c>
      <c r="P84" t="s">
        <v>372</v>
      </c>
    </row>
    <row r="85" spans="1:19" x14ac:dyDescent="0.25">
      <c r="N85" t="s">
        <v>373</v>
      </c>
      <c r="O85" t="s">
        <v>362</v>
      </c>
      <c r="P85" t="s">
        <v>376</v>
      </c>
    </row>
    <row r="86" spans="1:19" x14ac:dyDescent="0.25">
      <c r="N86" t="s">
        <v>374</v>
      </c>
      <c r="O86" t="s">
        <v>375</v>
      </c>
      <c r="P86" t="s">
        <v>377</v>
      </c>
    </row>
    <row r="89" spans="1:19" x14ac:dyDescent="0.25">
      <c r="A89" t="s">
        <v>276</v>
      </c>
      <c r="B89" t="s">
        <v>460</v>
      </c>
      <c r="C89" t="s">
        <v>461</v>
      </c>
      <c r="N89" t="s">
        <v>275</v>
      </c>
      <c r="O89" t="s">
        <v>276</v>
      </c>
      <c r="P89" t="s">
        <v>392</v>
      </c>
      <c r="Q89" t="s">
        <v>393</v>
      </c>
      <c r="R89" t="s">
        <v>394</v>
      </c>
      <c r="S89" t="s">
        <v>395</v>
      </c>
    </row>
    <row r="90" spans="1:19" x14ac:dyDescent="0.25">
      <c r="A90" t="s">
        <v>73</v>
      </c>
      <c r="B90" t="s">
        <v>462</v>
      </c>
      <c r="C90" s="45">
        <v>320000</v>
      </c>
      <c r="N90" t="s">
        <v>269</v>
      </c>
      <c r="O90" t="s">
        <v>10</v>
      </c>
      <c r="P90" t="s">
        <v>425</v>
      </c>
      <c r="Q90" t="s">
        <v>416</v>
      </c>
      <c r="R90" t="s">
        <v>426</v>
      </c>
      <c r="S90" t="s">
        <v>427</v>
      </c>
    </row>
    <row r="91" spans="1:19" x14ac:dyDescent="0.25">
      <c r="A91" t="s">
        <v>95</v>
      </c>
      <c r="B91" t="s">
        <v>463</v>
      </c>
      <c r="C91" s="45">
        <v>160000</v>
      </c>
      <c r="O91" t="s">
        <v>73</v>
      </c>
      <c r="P91" t="s">
        <v>428</v>
      </c>
      <c r="Q91" t="s">
        <v>416</v>
      </c>
      <c r="R91" t="s">
        <v>429</v>
      </c>
      <c r="S91" t="s">
        <v>430</v>
      </c>
    </row>
    <row r="92" spans="1:19" x14ac:dyDescent="0.25">
      <c r="A92" t="s">
        <v>83</v>
      </c>
      <c r="B92" t="s">
        <v>464</v>
      </c>
      <c r="O92" t="s">
        <v>95</v>
      </c>
      <c r="P92" t="s">
        <v>431</v>
      </c>
      <c r="Q92" t="s">
        <v>432</v>
      </c>
      <c r="R92" t="s">
        <v>433</v>
      </c>
      <c r="S92" t="s">
        <v>434</v>
      </c>
    </row>
    <row r="93" spans="1:19" x14ac:dyDescent="0.25">
      <c r="O93" t="s">
        <v>83</v>
      </c>
      <c r="P93" t="s">
        <v>435</v>
      </c>
      <c r="Q93" t="s">
        <v>408</v>
      </c>
      <c r="R93" t="s">
        <v>433</v>
      </c>
      <c r="S93" t="s">
        <v>436</v>
      </c>
    </row>
    <row r="94" spans="1:19" x14ac:dyDescent="0.25">
      <c r="N94" t="s">
        <v>396</v>
      </c>
      <c r="O94" t="s">
        <v>73</v>
      </c>
      <c r="P94" t="s">
        <v>397</v>
      </c>
      <c r="Q94" t="s">
        <v>398</v>
      </c>
      <c r="R94" t="s">
        <v>399</v>
      </c>
      <c r="S94" t="s">
        <v>400</v>
      </c>
    </row>
    <row r="95" spans="1:19" x14ac:dyDescent="0.25">
      <c r="O95" t="s">
        <v>95</v>
      </c>
      <c r="P95" t="s">
        <v>401</v>
      </c>
      <c r="Q95" t="s">
        <v>402</v>
      </c>
      <c r="R95" t="s">
        <v>403</v>
      </c>
      <c r="S95" t="s">
        <v>404</v>
      </c>
    </row>
    <row r="96" spans="1:19" x14ac:dyDescent="0.25">
      <c r="O96" t="s">
        <v>83</v>
      </c>
      <c r="P96" t="s">
        <v>405</v>
      </c>
      <c r="Q96" t="s">
        <v>398</v>
      </c>
      <c r="R96" t="s">
        <v>403</v>
      </c>
      <c r="S96" t="s">
        <v>406</v>
      </c>
    </row>
    <row r="97" spans="14:19" x14ac:dyDescent="0.25">
      <c r="N97" t="s">
        <v>267</v>
      </c>
      <c r="O97" t="s">
        <v>73</v>
      </c>
      <c r="P97" t="s">
        <v>407</v>
      </c>
      <c r="Q97" t="s">
        <v>408</v>
      </c>
      <c r="R97" t="s">
        <v>409</v>
      </c>
      <c r="S97" t="s">
        <v>410</v>
      </c>
    </row>
    <row r="98" spans="14:19" x14ac:dyDescent="0.25">
      <c r="O98" t="s">
        <v>95</v>
      </c>
      <c r="P98" t="s">
        <v>405</v>
      </c>
      <c r="Q98" t="s">
        <v>411</v>
      </c>
      <c r="R98" t="s">
        <v>409</v>
      </c>
      <c r="S98" t="s">
        <v>412</v>
      </c>
    </row>
    <row r="99" spans="14:19" x14ac:dyDescent="0.25">
      <c r="O99" t="s">
        <v>83</v>
      </c>
      <c r="P99" t="s">
        <v>413</v>
      </c>
      <c r="Q99" t="s">
        <v>414</v>
      </c>
      <c r="R99" t="s">
        <v>409</v>
      </c>
      <c r="S99" t="s">
        <v>415</v>
      </c>
    </row>
    <row r="100" spans="14:19" x14ac:dyDescent="0.25">
      <c r="N100" t="s">
        <v>271</v>
      </c>
      <c r="O100" t="s">
        <v>73</v>
      </c>
      <c r="P100" t="s">
        <v>401</v>
      </c>
      <c r="Q100" t="s">
        <v>416</v>
      </c>
      <c r="R100" t="s">
        <v>417</v>
      </c>
      <c r="S100" t="s">
        <v>418</v>
      </c>
    </row>
    <row r="101" spans="14:19" x14ac:dyDescent="0.25">
      <c r="O101" t="s">
        <v>95</v>
      </c>
      <c r="P101" t="s">
        <v>419</v>
      </c>
      <c r="Q101" t="s">
        <v>420</v>
      </c>
      <c r="R101" t="s">
        <v>417</v>
      </c>
      <c r="S101" t="s">
        <v>421</v>
      </c>
    </row>
    <row r="102" spans="14:19" x14ac:dyDescent="0.25">
      <c r="O102" t="s">
        <v>83</v>
      </c>
      <c r="P102" t="s">
        <v>405</v>
      </c>
      <c r="Q102" t="s">
        <v>422</v>
      </c>
      <c r="R102" t="s">
        <v>417</v>
      </c>
      <c r="S102" t="s">
        <v>423</v>
      </c>
    </row>
  </sheetData>
  <mergeCells count="35">
    <mergeCell ref="B58:C58"/>
    <mergeCell ref="D58:E58"/>
    <mergeCell ref="F58:G58"/>
    <mergeCell ref="H58:I58"/>
    <mergeCell ref="AA32:AA33"/>
    <mergeCell ref="S57:S60"/>
    <mergeCell ref="T57:T60"/>
    <mergeCell ref="U57:U60"/>
    <mergeCell ref="Y9:Z9"/>
    <mergeCell ref="Y21:Z21"/>
    <mergeCell ref="Y31:Z31"/>
    <mergeCell ref="Z32:Z33"/>
    <mergeCell ref="AF32:AF33"/>
    <mergeCell ref="AB32:AB33"/>
    <mergeCell ref="AC32:AC33"/>
    <mergeCell ref="AD32:AD33"/>
    <mergeCell ref="AE32:AE33"/>
    <mergeCell ref="D24:E24"/>
    <mergeCell ref="F23:H23"/>
    <mergeCell ref="F24:H24"/>
    <mergeCell ref="B1:C1"/>
    <mergeCell ref="D1:E1"/>
    <mergeCell ref="B23:C23"/>
    <mergeCell ref="B24:C24"/>
    <mergeCell ref="F1:G1"/>
    <mergeCell ref="S67:S69"/>
    <mergeCell ref="T67:T69"/>
    <mergeCell ref="U67:U69"/>
    <mergeCell ref="C68:D68"/>
    <mergeCell ref="T61:T63"/>
    <mergeCell ref="U61:U63"/>
    <mergeCell ref="S64:S66"/>
    <mergeCell ref="T64:T66"/>
    <mergeCell ref="U64:U66"/>
    <mergeCell ref="S61:S6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croll Bar 1">
              <controlPr defaultSize="0" autoPict="0">
                <anchor moveWithCells="1">
                  <from>
                    <xdr:col>16</xdr:col>
                    <xdr:colOff>0</xdr:colOff>
                    <xdr:row>2</xdr:row>
                    <xdr:rowOff>0</xdr:rowOff>
                  </from>
                  <to>
                    <xdr:col>17</xdr:col>
                    <xdr:colOff>571500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Scroll Bar 3">
              <controlPr defaultSize="0" autoPict="0">
                <anchor moveWithCells="1">
                  <from>
                    <xdr:col>16</xdr:col>
                    <xdr:colOff>0</xdr:colOff>
                    <xdr:row>15</xdr:row>
                    <xdr:rowOff>0</xdr:rowOff>
                  </from>
                  <to>
                    <xdr:col>17</xdr:col>
                    <xdr:colOff>571500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Scroll Bar 10">
              <controlPr defaultSize="0" autoPict="0">
                <anchor moveWithCells="1">
                  <from>
                    <xdr:col>2</xdr:col>
                    <xdr:colOff>19050</xdr:colOff>
                    <xdr:row>11</xdr:row>
                    <xdr:rowOff>9525</xdr:rowOff>
                  </from>
                  <to>
                    <xdr:col>4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Scroll Bar 11">
              <controlPr defaultSize="0" autoPict="0">
                <anchor moveWithCells="1">
                  <from>
                    <xdr:col>2</xdr:col>
                    <xdr:colOff>9525</xdr:colOff>
                    <xdr:row>14</xdr:row>
                    <xdr:rowOff>9525</xdr:rowOff>
                  </from>
                  <to>
                    <xdr:col>4</xdr:col>
                    <xdr:colOff>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Scroll Bar 12">
              <controlPr defaultSize="0" autoPict="0">
                <anchor moveWithCells="1">
                  <from>
                    <xdr:col>1</xdr:col>
                    <xdr:colOff>609600</xdr:colOff>
                    <xdr:row>15</xdr:row>
                    <xdr:rowOff>9525</xdr:rowOff>
                  </from>
                  <to>
                    <xdr:col>3</xdr:col>
                    <xdr:colOff>600075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" name="Scroll Bar 13">
              <controlPr defaultSize="0" autoPict="0">
                <anchor moveWithCells="1">
                  <from>
                    <xdr:col>2</xdr:col>
                    <xdr:colOff>9525</xdr:colOff>
                    <xdr:row>12</xdr:row>
                    <xdr:rowOff>9525</xdr:rowOff>
                  </from>
                  <to>
                    <xdr:col>4</xdr:col>
                    <xdr:colOff>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Scroll Bar 14">
              <controlPr defaultSize="0" autoPict="0">
                <anchor moveWithCells="1">
                  <from>
                    <xdr:col>2</xdr:col>
                    <xdr:colOff>9525</xdr:colOff>
                    <xdr:row>13</xdr:row>
                    <xdr:rowOff>9525</xdr:rowOff>
                  </from>
                  <to>
                    <xdr:col>4</xdr:col>
                    <xdr:colOff>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Scroll Bar 15">
              <controlPr defaultSize="0" autoPict="0">
                <anchor moveWithCells="1">
                  <from>
                    <xdr:col>2</xdr:col>
                    <xdr:colOff>0</xdr:colOff>
                    <xdr:row>16</xdr:row>
                    <xdr:rowOff>9525</xdr:rowOff>
                  </from>
                  <to>
                    <xdr:col>3</xdr:col>
                    <xdr:colOff>600075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Scroll Bar 16">
              <controlPr defaultSiz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600075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2" name="Scroll Bar 19">
              <controlPr defaultSize="0" autoPict="0">
                <anchor moveWithCells="1">
                  <from>
                    <xdr:col>1</xdr:col>
                    <xdr:colOff>600075</xdr:colOff>
                    <xdr:row>19</xdr:row>
                    <xdr:rowOff>9525</xdr:rowOff>
                  </from>
                  <to>
                    <xdr:col>4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3" name="Scroll Bar 20">
              <controlPr defaultSize="0" autoPict="0">
                <anchor moveWithCells="1">
                  <from>
                    <xdr:col>2</xdr:col>
                    <xdr:colOff>0</xdr:colOff>
                    <xdr:row>18</xdr:row>
                    <xdr:rowOff>9525</xdr:rowOff>
                  </from>
                  <to>
                    <xdr:col>3</xdr:col>
                    <xdr:colOff>590550</xdr:colOff>
                    <xdr:row>18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F841-3998-45F1-8D07-6557E0FE8198}">
  <dimension ref="B1:AB51"/>
  <sheetViews>
    <sheetView zoomScale="80" zoomScaleNormal="80" workbookViewId="0">
      <selection activeCell="B3" sqref="B3:G9"/>
    </sheetView>
  </sheetViews>
  <sheetFormatPr defaultRowHeight="15" x14ac:dyDescent="0.25"/>
  <cols>
    <col min="2" max="2" width="20.5703125" bestFit="1" customWidth="1"/>
    <col min="4" max="4" width="9.7109375" bestFit="1" customWidth="1"/>
    <col min="6" max="6" width="10.5703125" bestFit="1" customWidth="1"/>
    <col min="11" max="11" width="29" bestFit="1" customWidth="1"/>
    <col min="13" max="13" width="9.7109375" bestFit="1" customWidth="1"/>
    <col min="20" max="20" width="36.5703125" bestFit="1" customWidth="1"/>
  </cols>
  <sheetData>
    <row r="1" spans="2:25" s="10" customFormat="1" ht="23.25" x14ac:dyDescent="0.35">
      <c r="B1" s="10" t="s">
        <v>0</v>
      </c>
      <c r="K1" s="10" t="s">
        <v>120</v>
      </c>
      <c r="L1" t="s">
        <v>125</v>
      </c>
      <c r="T1" s="10" t="s">
        <v>229</v>
      </c>
      <c r="U1" t="s">
        <v>126</v>
      </c>
    </row>
    <row r="3" spans="2:25" x14ac:dyDescent="0.25">
      <c r="B3" s="4" t="s">
        <v>1</v>
      </c>
      <c r="K3" s="4" t="s">
        <v>73</v>
      </c>
      <c r="T3" s="4" t="s">
        <v>73</v>
      </c>
    </row>
    <row r="4" spans="2:25" x14ac:dyDescent="0.25">
      <c r="B4" s="65" t="s">
        <v>20</v>
      </c>
      <c r="C4" t="s">
        <v>62</v>
      </c>
      <c r="D4" t="s">
        <v>52</v>
      </c>
      <c r="E4" t="s">
        <v>61</v>
      </c>
      <c r="F4" t="s">
        <v>22</v>
      </c>
      <c r="G4" t="s">
        <v>63</v>
      </c>
      <c r="K4" s="65" t="s">
        <v>20</v>
      </c>
      <c r="L4" t="s">
        <v>62</v>
      </c>
      <c r="M4" t="s">
        <v>52</v>
      </c>
      <c r="N4" t="s">
        <v>61</v>
      </c>
      <c r="O4" t="s">
        <v>22</v>
      </c>
      <c r="P4" t="s">
        <v>63</v>
      </c>
      <c r="T4" s="65" t="s">
        <v>20</v>
      </c>
      <c r="U4" t="s">
        <v>62</v>
      </c>
      <c r="V4" t="s">
        <v>52</v>
      </c>
      <c r="W4" t="s">
        <v>61</v>
      </c>
      <c r="X4" t="s">
        <v>22</v>
      </c>
      <c r="Y4" t="s">
        <v>63</v>
      </c>
    </row>
    <row r="5" spans="2:25" x14ac:dyDescent="0.25">
      <c r="B5" s="65"/>
      <c r="C5" t="s">
        <v>46</v>
      </c>
      <c r="D5" t="s">
        <v>3</v>
      </c>
      <c r="E5" t="s">
        <v>121</v>
      </c>
      <c r="F5" t="s">
        <v>122</v>
      </c>
      <c r="K5" s="65"/>
      <c r="L5" t="s">
        <v>46</v>
      </c>
      <c r="M5" t="s">
        <v>3</v>
      </c>
      <c r="N5" t="s">
        <v>121</v>
      </c>
      <c r="O5" t="s">
        <v>122</v>
      </c>
      <c r="T5" s="65"/>
      <c r="U5" t="s">
        <v>46</v>
      </c>
      <c r="V5" t="s">
        <v>3</v>
      </c>
      <c r="W5" t="s">
        <v>121</v>
      </c>
      <c r="X5" t="s">
        <v>122</v>
      </c>
    </row>
    <row r="6" spans="2:25" x14ac:dyDescent="0.25">
      <c r="B6" t="s">
        <v>64</v>
      </c>
      <c r="C6">
        <v>50</v>
      </c>
      <c r="D6" s="9">
        <f>C6/E6</f>
        <v>746.26865671641792</v>
      </c>
      <c r="E6">
        <v>6.7000000000000004E-2</v>
      </c>
      <c r="F6" s="8">
        <v>25000</v>
      </c>
      <c r="G6" t="s">
        <v>66</v>
      </c>
      <c r="K6" t="s">
        <v>91</v>
      </c>
      <c r="L6">
        <v>1000</v>
      </c>
      <c r="M6" s="9">
        <f>L6/N6</f>
        <v>3030.30303030303</v>
      </c>
      <c r="N6">
        <v>0.33</v>
      </c>
      <c r="O6" s="8">
        <v>80000</v>
      </c>
      <c r="P6" t="s">
        <v>92</v>
      </c>
      <c r="T6" t="s">
        <v>106</v>
      </c>
      <c r="U6">
        <v>350</v>
      </c>
      <c r="V6" s="9">
        <f>U6/W6</f>
        <v>921.0526315789474</v>
      </c>
      <c r="W6">
        <v>0.38</v>
      </c>
      <c r="X6" s="8">
        <v>150000</v>
      </c>
      <c r="Y6" t="s">
        <v>107</v>
      </c>
    </row>
    <row r="7" spans="2:25" x14ac:dyDescent="0.25">
      <c r="B7" t="s">
        <v>67</v>
      </c>
      <c r="C7">
        <v>54</v>
      </c>
      <c r="D7" s="9">
        <f t="shared" ref="D7:D9" si="0">C7/E7</f>
        <v>805.97014925373128</v>
      </c>
      <c r="E7">
        <v>6.7000000000000004E-2</v>
      </c>
      <c r="F7" s="8">
        <v>33000</v>
      </c>
      <c r="K7" t="s">
        <v>93</v>
      </c>
      <c r="L7">
        <v>800</v>
      </c>
      <c r="M7" s="9">
        <f t="shared" ref="M7:M8" si="1">L7/N7</f>
        <v>2424.242424242424</v>
      </c>
      <c r="N7">
        <v>0.33</v>
      </c>
      <c r="O7" s="8">
        <v>130000</v>
      </c>
      <c r="T7" t="s">
        <v>108</v>
      </c>
      <c r="U7">
        <v>325</v>
      </c>
      <c r="V7" s="9">
        <f t="shared" ref="V7:V8" si="2">U7/W7</f>
        <v>812.5</v>
      </c>
      <c r="W7">
        <v>0.4</v>
      </c>
      <c r="X7" s="8">
        <v>250000</v>
      </c>
    </row>
    <row r="8" spans="2:25" x14ac:dyDescent="0.25">
      <c r="B8" t="s">
        <v>68</v>
      </c>
      <c r="C8">
        <v>54</v>
      </c>
      <c r="D8" s="9">
        <f t="shared" si="0"/>
        <v>857.14285714285711</v>
      </c>
      <c r="E8">
        <v>6.3E-2</v>
      </c>
      <c r="F8" s="8">
        <v>48000</v>
      </c>
      <c r="K8" t="s">
        <v>94</v>
      </c>
      <c r="L8">
        <v>800</v>
      </c>
      <c r="M8" s="9">
        <f t="shared" si="1"/>
        <v>2424.242424242424</v>
      </c>
      <c r="N8">
        <v>0.33</v>
      </c>
      <c r="O8" s="8">
        <v>135000</v>
      </c>
      <c r="T8" t="s">
        <v>109</v>
      </c>
      <c r="U8">
        <v>210</v>
      </c>
      <c r="V8" s="9">
        <f t="shared" si="2"/>
        <v>552.63157894736844</v>
      </c>
      <c r="W8">
        <v>0.38</v>
      </c>
      <c r="X8" s="8">
        <v>240000</v>
      </c>
    </row>
    <row r="9" spans="2:25" x14ac:dyDescent="0.25">
      <c r="B9" t="s">
        <v>71</v>
      </c>
      <c r="C9">
        <v>65</v>
      </c>
      <c r="D9" s="9">
        <f t="shared" si="0"/>
        <v>902.77777777777783</v>
      </c>
      <c r="E9">
        <v>7.1999999999999995E-2</v>
      </c>
      <c r="F9" s="8">
        <v>58000</v>
      </c>
    </row>
    <row r="12" spans="2:25" x14ac:dyDescent="0.25">
      <c r="B12" s="4" t="s">
        <v>119</v>
      </c>
      <c r="K12" s="4" t="s">
        <v>95</v>
      </c>
      <c r="T12" s="4" t="s">
        <v>95</v>
      </c>
    </row>
    <row r="13" spans="2:25" x14ac:dyDescent="0.25">
      <c r="B13" s="65" t="s">
        <v>20</v>
      </c>
      <c r="C13" t="s">
        <v>62</v>
      </c>
      <c r="D13" t="s">
        <v>52</v>
      </c>
      <c r="E13" t="s">
        <v>61</v>
      </c>
      <c r="F13" t="s">
        <v>22</v>
      </c>
      <c r="G13" t="s">
        <v>63</v>
      </c>
      <c r="K13" s="65" t="s">
        <v>20</v>
      </c>
      <c r="L13" t="s">
        <v>62</v>
      </c>
      <c r="M13" t="s">
        <v>52</v>
      </c>
      <c r="N13" t="s">
        <v>61</v>
      </c>
      <c r="O13" t="s">
        <v>22</v>
      </c>
      <c r="P13" t="s">
        <v>63</v>
      </c>
      <c r="T13" s="65" t="s">
        <v>20</v>
      </c>
      <c r="U13" t="s">
        <v>62</v>
      </c>
      <c r="V13" t="s">
        <v>52</v>
      </c>
      <c r="W13" t="s">
        <v>61</v>
      </c>
      <c r="X13" t="s">
        <v>22</v>
      </c>
      <c r="Y13" t="s">
        <v>63</v>
      </c>
    </row>
    <row r="14" spans="2:25" x14ac:dyDescent="0.25">
      <c r="B14" s="65"/>
      <c r="C14" t="s">
        <v>5</v>
      </c>
      <c r="D14" t="s">
        <v>3</v>
      </c>
      <c r="E14" t="s">
        <v>123</v>
      </c>
      <c r="F14" t="s">
        <v>122</v>
      </c>
      <c r="K14" s="65"/>
      <c r="L14" t="s">
        <v>5</v>
      </c>
      <c r="M14" t="s">
        <v>3</v>
      </c>
      <c r="N14" t="s">
        <v>123</v>
      </c>
      <c r="O14" t="s">
        <v>122</v>
      </c>
      <c r="T14" s="65"/>
      <c r="U14" t="s">
        <v>5</v>
      </c>
      <c r="V14" t="s">
        <v>3</v>
      </c>
      <c r="W14" t="s">
        <v>123</v>
      </c>
      <c r="X14" t="s">
        <v>122</v>
      </c>
    </row>
    <row r="15" spans="2:25" x14ac:dyDescent="0.25">
      <c r="B15" t="s">
        <v>53</v>
      </c>
      <c r="C15">
        <v>60.5</v>
      </c>
      <c r="D15" s="9">
        <f>C15/E15</f>
        <v>426.05633802816908</v>
      </c>
      <c r="E15">
        <v>0.14199999999999999</v>
      </c>
      <c r="F15" s="8">
        <v>35000</v>
      </c>
      <c r="G15" t="s">
        <v>55</v>
      </c>
      <c r="K15" t="s">
        <v>100</v>
      </c>
      <c r="L15">
        <v>350</v>
      </c>
      <c r="M15">
        <f>L15/N15</f>
        <v>200</v>
      </c>
      <c r="N15">
        <v>1.75</v>
      </c>
      <c r="O15" s="8">
        <v>180000</v>
      </c>
      <c r="P15" t="s">
        <v>96</v>
      </c>
      <c r="T15" t="s">
        <v>110</v>
      </c>
      <c r="U15">
        <v>348</v>
      </c>
      <c r="V15" s="9">
        <f>U15/W15</f>
        <v>250.35971223021585</v>
      </c>
      <c r="W15">
        <v>1.39</v>
      </c>
      <c r="X15" s="8">
        <v>320000</v>
      </c>
      <c r="Y15" t="s">
        <v>111</v>
      </c>
    </row>
    <row r="16" spans="2:25" x14ac:dyDescent="0.25">
      <c r="B16" t="s">
        <v>56</v>
      </c>
      <c r="C16">
        <v>58</v>
      </c>
      <c r="D16" s="9">
        <f t="shared" ref="D16:D19" si="3">C16/E16</f>
        <v>426.47058823529409</v>
      </c>
      <c r="E16">
        <v>0.13600000000000001</v>
      </c>
      <c r="F16" s="8">
        <v>38000</v>
      </c>
      <c r="K16" t="s">
        <v>97</v>
      </c>
      <c r="L16">
        <v>336</v>
      </c>
      <c r="M16">
        <f t="shared" ref="M16:M18" si="4">L16/N16</f>
        <v>200</v>
      </c>
      <c r="N16">
        <v>1.68</v>
      </c>
      <c r="O16" s="8">
        <v>250000</v>
      </c>
      <c r="T16" t="s">
        <v>112</v>
      </c>
      <c r="U16">
        <v>350</v>
      </c>
      <c r="V16" s="9">
        <f t="shared" ref="V16:V18" si="5">U16/W16</f>
        <v>230.26315789473685</v>
      </c>
      <c r="W16">
        <v>1.52</v>
      </c>
      <c r="X16" s="8">
        <v>400000</v>
      </c>
    </row>
    <row r="17" spans="2:28" x14ac:dyDescent="0.25">
      <c r="B17" t="s">
        <v>57</v>
      </c>
      <c r="C17">
        <v>60</v>
      </c>
      <c r="D17" s="9">
        <f t="shared" si="3"/>
        <v>454.5454545454545</v>
      </c>
      <c r="E17">
        <v>0.13200000000000001</v>
      </c>
      <c r="F17" s="8">
        <v>42000</v>
      </c>
      <c r="K17" t="s">
        <v>98</v>
      </c>
      <c r="L17">
        <v>540</v>
      </c>
      <c r="M17">
        <f t="shared" si="4"/>
        <v>300</v>
      </c>
      <c r="N17">
        <v>1.8</v>
      </c>
      <c r="O17" s="8">
        <v>300000</v>
      </c>
      <c r="T17" t="s">
        <v>113</v>
      </c>
      <c r="U17">
        <v>300</v>
      </c>
      <c r="V17" s="9">
        <f t="shared" si="5"/>
        <v>200</v>
      </c>
      <c r="W17">
        <v>1.5</v>
      </c>
      <c r="X17" s="8">
        <v>420000</v>
      </c>
    </row>
    <row r="18" spans="2:28" x14ac:dyDescent="0.25">
      <c r="B18" t="s">
        <v>58</v>
      </c>
      <c r="C18">
        <v>140</v>
      </c>
      <c r="D18" s="9">
        <f t="shared" si="3"/>
        <v>903.22580645161293</v>
      </c>
      <c r="E18">
        <v>0.155</v>
      </c>
      <c r="F18" s="8">
        <v>65000</v>
      </c>
      <c r="G18" t="s">
        <v>59</v>
      </c>
      <c r="K18" t="s">
        <v>99</v>
      </c>
      <c r="L18">
        <v>850</v>
      </c>
      <c r="M18" s="9">
        <f t="shared" si="4"/>
        <v>801.88679245283015</v>
      </c>
      <c r="N18">
        <v>1.06</v>
      </c>
      <c r="O18" s="8">
        <v>250000</v>
      </c>
      <c r="T18" t="s">
        <v>114</v>
      </c>
      <c r="U18">
        <v>392</v>
      </c>
      <c r="V18" s="9">
        <f t="shared" si="5"/>
        <v>170.43478260869566</v>
      </c>
      <c r="W18">
        <v>2.2999999999999998</v>
      </c>
      <c r="X18" s="8">
        <v>450000</v>
      </c>
    </row>
    <row r="19" spans="2:28" x14ac:dyDescent="0.25">
      <c r="B19" t="s">
        <v>60</v>
      </c>
      <c r="C19">
        <v>114</v>
      </c>
      <c r="D19" s="9">
        <f t="shared" si="3"/>
        <v>600</v>
      </c>
      <c r="E19">
        <v>0.19</v>
      </c>
      <c r="F19" s="8">
        <v>85000</v>
      </c>
    </row>
    <row r="21" spans="2:28" x14ac:dyDescent="0.25">
      <c r="B21" s="4" t="s">
        <v>83</v>
      </c>
      <c r="K21" s="4" t="s">
        <v>83</v>
      </c>
      <c r="T21" s="4" t="s">
        <v>83</v>
      </c>
    </row>
    <row r="22" spans="2:28" x14ac:dyDescent="0.25">
      <c r="B22" s="65" t="s">
        <v>20</v>
      </c>
      <c r="C22" t="s">
        <v>62</v>
      </c>
      <c r="D22" t="s">
        <v>52</v>
      </c>
      <c r="E22" t="s">
        <v>61</v>
      </c>
      <c r="F22" t="s">
        <v>22</v>
      </c>
      <c r="G22" t="s">
        <v>42</v>
      </c>
      <c r="K22" s="65" t="s">
        <v>20</v>
      </c>
      <c r="L22" t="s">
        <v>62</v>
      </c>
      <c r="M22" t="s">
        <v>52</v>
      </c>
      <c r="N22" t="s">
        <v>61</v>
      </c>
      <c r="O22" t="s">
        <v>22</v>
      </c>
      <c r="P22" t="s">
        <v>42</v>
      </c>
      <c r="T22" s="65" t="s">
        <v>20</v>
      </c>
      <c r="U22" t="s">
        <v>62</v>
      </c>
      <c r="V22" t="s">
        <v>52</v>
      </c>
      <c r="W22" t="s">
        <v>61</v>
      </c>
      <c r="X22" t="s">
        <v>22</v>
      </c>
      <c r="Y22" t="s">
        <v>42</v>
      </c>
    </row>
    <row r="23" spans="2:28" x14ac:dyDescent="0.25">
      <c r="B23" s="65"/>
      <c r="C23" t="s">
        <v>45</v>
      </c>
      <c r="D23" t="s">
        <v>3</v>
      </c>
      <c r="E23" t="s">
        <v>124</v>
      </c>
      <c r="F23" t="s">
        <v>122</v>
      </c>
      <c r="G23" t="s">
        <v>35</v>
      </c>
      <c r="H23" t="s">
        <v>63</v>
      </c>
      <c r="K23" s="65"/>
      <c r="L23" t="s">
        <v>45</v>
      </c>
      <c r="M23" t="s">
        <v>3</v>
      </c>
      <c r="N23" t="s">
        <v>124</v>
      </c>
      <c r="O23" t="s">
        <v>122</v>
      </c>
      <c r="P23" t="s">
        <v>35</v>
      </c>
      <c r="Q23" t="s">
        <v>63</v>
      </c>
      <c r="T23" s="65"/>
      <c r="U23" t="s">
        <v>45</v>
      </c>
      <c r="V23" t="s">
        <v>3</v>
      </c>
      <c r="W23" t="s">
        <v>124</v>
      </c>
      <c r="X23" t="s">
        <v>122</v>
      </c>
      <c r="Y23" t="s">
        <v>35</v>
      </c>
      <c r="Z23" t="s">
        <v>63</v>
      </c>
    </row>
    <row r="24" spans="2:28" x14ac:dyDescent="0.25">
      <c r="B24" t="s">
        <v>84</v>
      </c>
      <c r="C24" t="s">
        <v>85</v>
      </c>
      <c r="D24" t="s">
        <v>85</v>
      </c>
      <c r="E24">
        <v>6.4999999999999997E-3</v>
      </c>
      <c r="F24" t="s">
        <v>87</v>
      </c>
      <c r="G24">
        <v>700</v>
      </c>
      <c r="H24" t="s">
        <v>88</v>
      </c>
      <c r="K24" t="s">
        <v>101</v>
      </c>
      <c r="L24">
        <v>50</v>
      </c>
      <c r="M24" s="9">
        <f>L24/N24</f>
        <v>555.55555555555554</v>
      </c>
      <c r="N24">
        <v>0.09</v>
      </c>
      <c r="O24" s="8">
        <v>350000</v>
      </c>
      <c r="P24" t="s">
        <v>102</v>
      </c>
      <c r="Q24" t="s">
        <v>103</v>
      </c>
      <c r="T24" t="s">
        <v>115</v>
      </c>
      <c r="U24">
        <v>30</v>
      </c>
      <c r="V24" s="9">
        <f>U24/W24</f>
        <v>315.78947368421052</v>
      </c>
      <c r="W24">
        <v>9.5000000000000001E-2</v>
      </c>
      <c r="X24" s="8">
        <v>450000</v>
      </c>
      <c r="Y24">
        <v>350</v>
      </c>
      <c r="Z24" t="s">
        <v>116</v>
      </c>
    </row>
    <row r="25" spans="2:28" x14ac:dyDescent="0.25">
      <c r="B25" t="s">
        <v>89</v>
      </c>
      <c r="C25">
        <v>5.6</v>
      </c>
      <c r="D25" s="9">
        <f>C25/E25</f>
        <v>651.16279069767438</v>
      </c>
      <c r="E25">
        <v>8.6E-3</v>
      </c>
      <c r="F25" s="8">
        <v>66000</v>
      </c>
      <c r="G25">
        <v>700</v>
      </c>
      <c r="K25" t="s">
        <v>104</v>
      </c>
      <c r="L25">
        <v>31</v>
      </c>
      <c r="M25" s="9">
        <f t="shared" ref="M25:M26" si="6">L25/N25</f>
        <v>413.33333333333337</v>
      </c>
      <c r="N25">
        <v>7.4999999999999997E-2</v>
      </c>
      <c r="O25" s="8">
        <v>450000</v>
      </c>
      <c r="P25" t="s">
        <v>102</v>
      </c>
      <c r="T25" t="s">
        <v>117</v>
      </c>
      <c r="U25">
        <v>37.5</v>
      </c>
      <c r="V25" s="9">
        <f t="shared" ref="V25:V26" si="7">U25/W25</f>
        <v>398.93617021276594</v>
      </c>
      <c r="W25">
        <v>9.4E-2</v>
      </c>
      <c r="X25" s="8">
        <v>600000</v>
      </c>
      <c r="Y25">
        <v>350</v>
      </c>
    </row>
    <row r="26" spans="2:28" x14ac:dyDescent="0.25">
      <c r="B26" t="s">
        <v>90</v>
      </c>
      <c r="C26">
        <v>6.33</v>
      </c>
      <c r="D26" s="9">
        <f>C26/E26</f>
        <v>753.57142857142867</v>
      </c>
      <c r="E26">
        <v>8.3999999999999995E-3</v>
      </c>
      <c r="F26" s="8">
        <v>69000</v>
      </c>
      <c r="G26">
        <v>700</v>
      </c>
      <c r="K26" t="s">
        <v>105</v>
      </c>
      <c r="L26">
        <v>70</v>
      </c>
      <c r="M26" s="9">
        <f t="shared" si="6"/>
        <v>800</v>
      </c>
      <c r="N26">
        <v>8.7499999999999994E-2</v>
      </c>
      <c r="O26" s="8">
        <v>400000</v>
      </c>
      <c r="P26" t="s">
        <v>86</v>
      </c>
      <c r="T26" t="s">
        <v>118</v>
      </c>
      <c r="U26">
        <v>35</v>
      </c>
      <c r="V26" s="9">
        <f t="shared" si="7"/>
        <v>350</v>
      </c>
      <c r="W26">
        <v>0.1</v>
      </c>
      <c r="X26" s="8">
        <v>650000</v>
      </c>
      <c r="Y26">
        <v>350</v>
      </c>
    </row>
    <row r="29" spans="2:28" x14ac:dyDescent="0.25">
      <c r="B29" s="4" t="s">
        <v>73</v>
      </c>
      <c r="T29" s="4" t="s">
        <v>526</v>
      </c>
    </row>
    <row r="30" spans="2:28" x14ac:dyDescent="0.25">
      <c r="B30" t="s">
        <v>20</v>
      </c>
      <c r="C30" t="s">
        <v>62</v>
      </c>
      <c r="D30" t="s">
        <v>52</v>
      </c>
      <c r="E30" t="s">
        <v>61</v>
      </c>
      <c r="F30" t="s">
        <v>22</v>
      </c>
      <c r="G30" t="s">
        <v>63</v>
      </c>
      <c r="T30" s="4" t="s">
        <v>488</v>
      </c>
      <c r="U30" s="4" t="s">
        <v>20</v>
      </c>
      <c r="V30" s="64" t="s">
        <v>489</v>
      </c>
      <c r="W30" s="64"/>
      <c r="X30" s="64" t="s">
        <v>490</v>
      </c>
      <c r="Y30" s="64"/>
      <c r="Z30" s="64" t="s">
        <v>527</v>
      </c>
      <c r="AA30" s="64"/>
      <c r="AB30" s="4" t="s">
        <v>63</v>
      </c>
    </row>
    <row r="31" spans="2:28" x14ac:dyDescent="0.25">
      <c r="B31" t="s">
        <v>74</v>
      </c>
      <c r="C31" t="s">
        <v>75</v>
      </c>
      <c r="D31" t="s">
        <v>76</v>
      </c>
      <c r="E31" t="s">
        <v>70</v>
      </c>
      <c r="F31" t="s">
        <v>54</v>
      </c>
      <c r="G31" t="s">
        <v>77</v>
      </c>
      <c r="T31" t="s">
        <v>523</v>
      </c>
      <c r="U31" t="s">
        <v>528</v>
      </c>
      <c r="V31" t="s">
        <v>491</v>
      </c>
      <c r="W31">
        <v>500</v>
      </c>
      <c r="X31" t="s">
        <v>492</v>
      </c>
      <c r="Y31">
        <v>0.28499999999999998</v>
      </c>
      <c r="Z31" t="s">
        <v>529</v>
      </c>
      <c r="AA31">
        <f>(275+200)/2*1000</f>
        <v>237500</v>
      </c>
      <c r="AB31" t="s">
        <v>530</v>
      </c>
    </row>
    <row r="32" spans="2:28" x14ac:dyDescent="0.25">
      <c r="B32" t="s">
        <v>67</v>
      </c>
      <c r="C32" t="s">
        <v>65</v>
      </c>
      <c r="D32" t="s">
        <v>78</v>
      </c>
      <c r="E32" t="s">
        <v>79</v>
      </c>
      <c r="F32" s="8">
        <v>35000</v>
      </c>
      <c r="T32" t="s">
        <v>523</v>
      </c>
      <c r="U32" t="s">
        <v>493</v>
      </c>
      <c r="V32" t="s">
        <v>494</v>
      </c>
      <c r="W32">
        <v>600</v>
      </c>
      <c r="X32" t="s">
        <v>495</v>
      </c>
      <c r="Y32">
        <f>0.55/2</f>
        <v>0.27500000000000002</v>
      </c>
      <c r="Z32" t="s">
        <v>531</v>
      </c>
      <c r="AA32">
        <f>(210+250)/2*1000</f>
        <v>230000</v>
      </c>
      <c r="AB32" t="s">
        <v>496</v>
      </c>
    </row>
    <row r="33" spans="2:28" x14ac:dyDescent="0.25">
      <c r="B33" t="s">
        <v>68</v>
      </c>
      <c r="C33" t="s">
        <v>69</v>
      </c>
      <c r="D33" t="s">
        <v>80</v>
      </c>
      <c r="E33" t="s">
        <v>81</v>
      </c>
      <c r="F33" s="8">
        <v>50000</v>
      </c>
      <c r="T33" t="s">
        <v>523</v>
      </c>
      <c r="U33" t="s">
        <v>497</v>
      </c>
      <c r="V33" t="s">
        <v>498</v>
      </c>
      <c r="W33">
        <f>(250+400)/2</f>
        <v>325</v>
      </c>
      <c r="X33" t="s">
        <v>499</v>
      </c>
      <c r="Y33">
        <v>0.28999999999999998</v>
      </c>
      <c r="Z33" t="s">
        <v>532</v>
      </c>
      <c r="AA33">
        <v>215000</v>
      </c>
      <c r="AB33" t="s">
        <v>500</v>
      </c>
    </row>
    <row r="34" spans="2:28" x14ac:dyDescent="0.25">
      <c r="B34" t="s">
        <v>71</v>
      </c>
      <c r="C34" t="s">
        <v>72</v>
      </c>
      <c r="D34" t="s">
        <v>76</v>
      </c>
      <c r="E34" t="s">
        <v>82</v>
      </c>
      <c r="F34" s="8">
        <v>60000</v>
      </c>
      <c r="T34" t="s">
        <v>524</v>
      </c>
      <c r="U34" t="s">
        <v>501</v>
      </c>
      <c r="V34" t="s">
        <v>502</v>
      </c>
      <c r="W34">
        <v>440</v>
      </c>
      <c r="X34" t="s">
        <v>503</v>
      </c>
      <c r="Y34">
        <f>2.3/2</f>
        <v>1.1499999999999999</v>
      </c>
      <c r="Z34" t="s">
        <v>533</v>
      </c>
      <c r="AA34">
        <v>500000</v>
      </c>
      <c r="AB34" t="s">
        <v>504</v>
      </c>
    </row>
    <row r="35" spans="2:28" x14ac:dyDescent="0.25">
      <c r="B35" s="4"/>
      <c r="T35" t="s">
        <v>524</v>
      </c>
      <c r="U35" t="s">
        <v>113</v>
      </c>
      <c r="V35" t="s">
        <v>505</v>
      </c>
      <c r="W35">
        <f>550/2</f>
        <v>275</v>
      </c>
      <c r="X35" t="s">
        <v>506</v>
      </c>
      <c r="Y35">
        <f>2.4/2</f>
        <v>1.2</v>
      </c>
      <c r="Z35" t="s">
        <v>534</v>
      </c>
      <c r="AA35">
        <v>450000</v>
      </c>
      <c r="AB35" t="s">
        <v>507</v>
      </c>
    </row>
    <row r="36" spans="2:28" x14ac:dyDescent="0.25">
      <c r="T36" t="s">
        <v>524</v>
      </c>
      <c r="U36" t="s">
        <v>508</v>
      </c>
      <c r="V36" t="s">
        <v>509</v>
      </c>
      <c r="W36">
        <f>(210+350)/2</f>
        <v>280</v>
      </c>
      <c r="X36" t="s">
        <v>510</v>
      </c>
      <c r="Y36">
        <f>2.3/2</f>
        <v>1.1499999999999999</v>
      </c>
      <c r="Z36" t="s">
        <v>535</v>
      </c>
      <c r="AA36">
        <v>400000</v>
      </c>
      <c r="AB36" t="s">
        <v>511</v>
      </c>
    </row>
    <row r="37" spans="2:28" x14ac:dyDescent="0.25">
      <c r="T37" t="s">
        <v>525</v>
      </c>
      <c r="U37" t="s">
        <v>118</v>
      </c>
      <c r="V37" t="s">
        <v>512</v>
      </c>
      <c r="W37">
        <v>35</v>
      </c>
      <c r="X37" t="s">
        <v>513</v>
      </c>
      <c r="Y37">
        <f>0.065</f>
        <v>6.5000000000000002E-2</v>
      </c>
      <c r="Z37" t="s">
        <v>536</v>
      </c>
      <c r="AA37">
        <v>675000</v>
      </c>
      <c r="AB37" t="s">
        <v>514</v>
      </c>
    </row>
    <row r="38" spans="2:28" x14ac:dyDescent="0.25">
      <c r="T38" t="s">
        <v>525</v>
      </c>
      <c r="U38" t="s">
        <v>515</v>
      </c>
      <c r="V38" t="s">
        <v>516</v>
      </c>
      <c r="W38">
        <v>37.5</v>
      </c>
      <c r="X38" t="s">
        <v>517</v>
      </c>
      <c r="Y38">
        <f>(0.055+0.08)/2</f>
        <v>6.7500000000000004E-2</v>
      </c>
      <c r="Z38" t="s">
        <v>537</v>
      </c>
      <c r="AA38">
        <v>650000</v>
      </c>
      <c r="AB38" t="s">
        <v>518</v>
      </c>
    </row>
    <row r="39" spans="2:28" x14ac:dyDescent="0.25">
      <c r="T39" t="s">
        <v>525</v>
      </c>
      <c r="U39" t="s">
        <v>519</v>
      </c>
      <c r="V39" t="s">
        <v>520</v>
      </c>
      <c r="W39">
        <v>37.5</v>
      </c>
      <c r="X39" t="s">
        <v>521</v>
      </c>
      <c r="Y39">
        <v>6.5000000000000002E-2</v>
      </c>
      <c r="Z39" t="s">
        <v>538</v>
      </c>
      <c r="AA39">
        <v>700000</v>
      </c>
      <c r="AB39" t="s">
        <v>522</v>
      </c>
    </row>
    <row r="44" spans="2:28" x14ac:dyDescent="0.25">
      <c r="B44" s="4"/>
    </row>
    <row r="46" spans="2:28" x14ac:dyDescent="0.25">
      <c r="O46" s="8"/>
    </row>
    <row r="47" spans="2:28" x14ac:dyDescent="0.25">
      <c r="F47" s="8"/>
      <c r="O47" s="8"/>
    </row>
    <row r="48" spans="2:28" x14ac:dyDescent="0.25">
      <c r="F48" s="8"/>
      <c r="O48" s="8"/>
    </row>
    <row r="49" spans="6:26" x14ac:dyDescent="0.25">
      <c r="F49" s="8"/>
      <c r="T49" s="4"/>
    </row>
    <row r="50" spans="6:26" x14ac:dyDescent="0.25">
      <c r="Z50" s="8"/>
    </row>
    <row r="51" spans="6:26" x14ac:dyDescent="0.25">
      <c r="Z51" s="8"/>
    </row>
  </sheetData>
  <mergeCells count="12">
    <mergeCell ref="V30:W30"/>
    <mergeCell ref="X30:Y30"/>
    <mergeCell ref="Z30:AA30"/>
    <mergeCell ref="T4:T5"/>
    <mergeCell ref="T13:T14"/>
    <mergeCell ref="T22:T23"/>
    <mergeCell ref="B4:B5"/>
    <mergeCell ref="B13:B14"/>
    <mergeCell ref="B22:B23"/>
    <mergeCell ref="K4:K5"/>
    <mergeCell ref="K13:K14"/>
    <mergeCell ref="K22:K2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93EA-2D80-492D-B9D1-38A356581215}">
  <dimension ref="B2:C3"/>
  <sheetViews>
    <sheetView workbookViewId="0">
      <selection activeCell="C4" sqref="C4"/>
    </sheetView>
  </sheetViews>
  <sheetFormatPr defaultRowHeight="15" x14ac:dyDescent="0.25"/>
  <sheetData>
    <row r="2" spans="2:3" x14ac:dyDescent="0.25">
      <c r="B2" s="42"/>
      <c r="C2" t="s">
        <v>608</v>
      </c>
    </row>
    <row r="3" spans="2:3" x14ac:dyDescent="0.25">
      <c r="B3" s="51"/>
      <c r="C3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Grafici</vt:lpstr>
      <vt:lpstr>AUTO</vt:lpstr>
      <vt:lpstr>CAMION</vt:lpstr>
      <vt:lpstr>AUTOBUS Urbano</vt:lpstr>
      <vt:lpstr>AUTOBUS ExtraUrbano</vt:lpstr>
      <vt:lpstr>CALORE</vt:lpstr>
      <vt:lpstr>Produzione H2</vt:lpstr>
      <vt:lpstr>Dati</vt:lpstr>
      <vt:lpstr>Dati Targa Modelli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Piccoli</dc:creator>
  <cp:lastModifiedBy>Matteo De Piccoli</cp:lastModifiedBy>
  <dcterms:created xsi:type="dcterms:W3CDTF">2025-10-22T07:15:17Z</dcterms:created>
  <dcterms:modified xsi:type="dcterms:W3CDTF">2026-04-03T10:52:58Z</dcterms:modified>
</cp:coreProperties>
</file>